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372011fca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 sanh" sheetId="1" r:id="R54cd9a6a11354b5a"/>
    <x:sheet xmlns:r="http://schemas.openxmlformats.org/officeDocument/2006/relationships" name="Cau hinh" sheetId="2" r:id="Rb79f3461b611450e"/>
    <x:sheet xmlns:r="http://schemas.openxmlformats.org/officeDocument/2006/relationships" name="Giai thich" sheetId="3" r:id="R3f88088674094d44"/>
    <x:sheet xmlns:r="http://schemas.openxmlformats.org/officeDocument/2006/relationships" name="Qua trinh chon" sheetId="4" r:id="Rcf091ce2ecb2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0.00%"/>
    <x:numFmt numFmtId="202" formatCode="0.00000000000000"/>
    <x:numFmt numFmtId="203" formatCode="#,##0"/>
    <x:numFmt numFmtId="204" formatCode="0.000000000000000"/>
    <x:numFmt numFmtId="205" formatCode="0.###"/>
    <x:numFmt numFmtId="206" formatCode="0"/>
  </x:numFmts>
  <x:fonts count="5">
    <x:font>
      <x:sz val="11"/>
      <x:name val="Carlito"/>
    </x:font>
    <x:font>
      <x:sz val="11"/>
      <x:color rgb="FF253447"/>
      <x:name val="Arial"/>
    </x:font>
    <x:font>
      <x:b/>
      <x:sz val="16"/>
      <x:color rgb="FF22354D"/>
      <x:name val="Arial"/>
    </x:font>
    <x:font>
      <x:b/>
      <x:sz val="11"/>
      <x:color rgb="FFFFFFFF"/>
      <x:name val="Arial"/>
    </x:font>
    <x:font>
      <x:b/>
      <x:sz val="11"/>
      <x:color rgb="FF25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54D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2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fdfef82ad47d2" /><Relationship Type="http://schemas.openxmlformats.org/officeDocument/2006/relationships/theme" Target="/xl/theme/theme1.xml" Id="R0979968948424a6d" /><Relationship Type="http://schemas.openxmlformats.org/officeDocument/2006/relationships/sharedStrings" Target="/xl/sharedStrings.xml" Id="Rca107ee05d3648df" /><Relationship Type="http://schemas.openxmlformats.org/officeDocument/2006/relationships/worksheet" Target="/xl/worksheets/sheet1.xml" Id="R54cd9a6a11354b5a" /><Relationship Type="http://schemas.openxmlformats.org/officeDocument/2006/relationships/worksheet" Target="/xl/worksheets/sheet2.xml" Id="Rb79f3461b611450e" /><Relationship Type="http://schemas.openxmlformats.org/officeDocument/2006/relationships/worksheet" Target="/xl/worksheets/sheet3.xml" Id="R3f88088674094d44" /><Relationship Type="http://schemas.openxmlformats.org/officeDocument/2006/relationships/worksheet" Target="/xl/worksheets/sheet4.xml" Id="Rcf091ce2ecb243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7c79d2c7c44f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MAE validation và test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MAE val (°C)</c:v>
          </c:tx>
          <c:spPr>
            <a:solidFill xmlns:a="http://schemas.openxmlformats.org/drawingml/2006/main">
              <a:srgbClr val="AAB9CB"/>
            </a:solidFill>
          </c:spPr>
          <c:cat>
            <c:strRef>
              <c:f>'So sanh'!$A$7:$A$13</c:f>
              <c:strCache>
                <c:ptCount val="0"/>
              </c:strCache>
            </c:strRef>
          </c:cat>
          <c:val>
            <c:numRef>
              <c:f>'So sanh'!$B$7:$B$13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MAE test (°C)</c:v>
          </c:tx>
          <c:spPr>
            <a:solidFill xmlns:a="http://schemas.openxmlformats.org/drawingml/2006/main">
              <a:srgbClr val="2463A6"/>
            </a:solidFill>
          </c:spPr>
          <c:cat>
            <c:strRef>
              <c:f>'So sanh'!$A$7:$A$13</c:f>
              <c:strCache>
                <c:ptCount val="0"/>
              </c:strCache>
            </c:strRef>
          </c:cat>
          <c:val>
            <c:numRef>
              <c:f>'So sanh'!$E$7:$E$13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7c79d2c7c44f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iningTrials" displayName="TrainingTrials" ref="A5:I67" headerRowCount="1" totalsRowCount="0" totalsRowShown="0">
  <x:tableColumns count="9">
    <x:tableColumn id="1" name="Mô hình"/>
    <x:tableColumn id="2" name="alpha"/>
    <x:tableColumn id="3" name="gamma"/>
    <x:tableColumn id="4" name="learning_rate"/>
    <x:tableColumn id="5" name="Epoch"/>
    <x:tableColumn id="6" name="MAE val (°C)"/>
    <x:tableColumn id="7" name="Trạng thái"/>
    <x:tableColumn id="8" name="Nguồn"/>
    <x:tableColumn id="9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c962b35b4b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3067bca16ee49eb" /></Relationships>
</file>

<file path=xl/worksheets/sheet1.xml><?xml version="1.0" encoding="utf-8"?>
<x:worksheet xmlns:x="http://schemas.openxmlformats.org/spreadsheetml/2006/main">
  <x:sheetPr>
    <x:tabColor rgb="FF2463A6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SO SÁNH DỰ BÁO NHIỆT ĐỘ +3 GIỜ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Nguồn: 5 log người dùng cung cấp ngày 28/09/2026. Số liệu giữ nguyên độ chính xác trong log.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Train: 2021–2023 (26.253 mẫu). Validation: 2024 (8.781 mẫu). Test: 2025 (8.757 mẫu).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7" t="str">
        <x:v>Mô hình</x:v>
      </x:c>
      <x:c r="B6" s="7" t="str">
        <x:v>MAE val (°C)</x:v>
      </x:c>
      <x:c r="C6" s="7" t="str">
        <x:v>RMSE val (°C)</x:v>
      </x:c>
      <x:c r="D6" s="7" t="str">
        <x:v>Bias val (°C)</x:v>
      </x:c>
      <x:c r="E6" s="7" t="str">
        <x:v>MAE test (°C)</x:v>
      </x:c>
      <x:c r="F6" s="7" t="str">
        <x:v>RMSE test (°C)</x:v>
      </x:c>
      <x:c r="G6" s="7" t="str">
        <x:v>Bias test (°C)</x:v>
      </x:c>
      <x:c r="H6" s="7" t="str">
        <x:v>Hạng MAE test</x:v>
      </x:c>
      <x:c r="I6" s="7" t="str">
        <x:v>Giảm MAE so OLS</x:v>
      </x:c>
      <x:c r="J6" s="7" t="str">
        <x:v>Giảm MAE so Ridge</x:v>
      </x:c>
      <x:c r="K6" s="7" t="str">
        <x:v>Test − val (°C)</x:v>
      </x:c>
      <x:c r="L6" s="7" t="str">
        <x:v>Nguồn log</x:v>
      </x:c>
    </x:row>
    <x:row r="7" ht="32" customHeight="1">
      <x:c r="A7" s="8" t="str">
        <x:v>Persistence</x:v>
      </x:c>
      <x:c r="B7" s="9" t="n">
        <x:v>2.161997</x:v>
      </x:c>
      <x:c r="C7" s="9" t="n">
        <x:v>2.893984</x:v>
      </x:c>
      <x:c r="D7" s="9" t="n">
        <x:v>0.001824</x:v>
      </x:c>
      <x:c r="E7" s="9" t="n">
        <x:v>2.080369</x:v>
      </x:c>
      <x:c r="F7" s="9" t="n">
        <x:v>2.73272</x:v>
      </x:c>
      <x:c r="G7" s="9" t="n">
        <x:v>0.001762</x:v>
      </x:c>
      <x:c r="H7" s="8" t="n">
        <x:f>1+COUNTIFS($E$7:$E$13,"&lt;"&amp;E7)</x:f>
        <x:v>7</x:v>
      </x:c>
      <x:c r="I7" s="11" t="n">
        <x:f>($E$9-E7)/$E$9</x:f>
        <x:v>-2.867050948653557</x:v>
      </x:c>
      <x:c r="J7" s="11" t="n">
        <x:f>($E$10-E7)/$E$10</x:f>
        <x:v>-3.0837190585556407</x:v>
      </x:c>
      <x:c r="K7" s="9" t="n">
        <x:f>E7-B7</x:f>
        <x:v>-0.08162799999999981</x:v>
      </x:c>
      <x:c r="L7" s="8" t="str">
        <x:v>1, 3–5</x:v>
      </x:c>
    </x:row>
    <x:row r="8" ht="32" customHeight="1">
      <x:c r="A8" s="2" t="str">
        <x:v>Diurnal</x:v>
      </x:c>
      <x:c r="B8" s="10" t="n">
        <x:v>0.761082</x:v>
      </x:c>
      <x:c r="C8" s="10" t="n">
        <x:v>1.051338</x:v>
      </x:c>
      <x:c r="D8" s="10" t="n">
        <x:v>0.005869</x:v>
      </x:c>
      <x:c r="E8" s="10" t="n">
        <x:v>0.83228</x:v>
      </x:c>
      <x:c r="F8" s="10" t="n">
        <x:v>1.187346</x:v>
      </x:c>
      <x:c r="G8" s="10" t="n">
        <x:v>0.00423</x:v>
      </x:c>
      <x:c r="H8" s="2" t="n">
        <x:f>1+COUNTIFS($E$7:$E$13,"&lt;"&amp;E8)</x:f>
        <x:v>6</x:v>
      </x:c>
      <x:c r="I8" s="12" t="n">
        <x:f>($E$9-E8)/$E$9</x:f>
        <x:v>-0.5470664884668932</x:v>
      </x:c>
      <x:c r="J8" s="12" t="n">
        <x:f>($E$10-E8)/$E$10</x:f>
        <x:v>-0.6337475217399838</x:v>
      </x:c>
      <x:c r="K8" s="10" t="n">
        <x:f>E8-B8</x:f>
        <x:v>0.07119799999999998</x:v>
      </x:c>
      <x:c r="L8" s="2" t="str">
        <x:v>1, 3–5</x:v>
      </x:c>
    </x:row>
    <x:row r="9" ht="32" customHeight="1">
      <x:c r="A9" s="8" t="str">
        <x:v>OLS (Basic)</x:v>
      </x:c>
      <x:c r="B9" s="9" t="n">
        <x:v>0.511932</x:v>
      </x:c>
      <x:c r="C9" s="9" t="n">
        <x:v>0.724552</x:v>
      </x:c>
      <x:c r="D9" s="9" t="n">
        <x:v>0.002554</x:v>
      </x:c>
      <x:c r="E9" s="9" t="n">
        <x:v>0.537973</x:v>
      </x:c>
      <x:c r="F9" s="9" t="n">
        <x:v>0.785961</x:v>
      </x:c>
      <x:c r="G9" s="9" t="n">
        <x:v>0.002208</x:v>
      </x:c>
      <x:c r="H9" s="8" t="n">
        <x:f>1+COUNTIFS($E$7:$E$13,"&lt;"&amp;E9)</x:f>
        <x:v>5</x:v>
      </x:c>
      <x:c r="I9" s="11" t="n">
        <x:f>($E$9-E9)/$E$9</x:f>
        <x:v>0</x:v>
      </x:c>
      <x:c r="J9" s="11" t="n">
        <x:f>($E$10-E9)/$E$10</x:f>
        <x:v>-0.05602928763520009</x:v>
      </x:c>
      <x:c r="K9" s="9" t="n">
        <x:f>E9-B9</x:f>
        <x:v>0.02604099999999998</x:v>
      </x:c>
      <x:c r="L9" s="8" t="str">
        <x:v>1, 3–5</x:v>
      </x:c>
    </x:row>
    <x:row r="10" ht="32" customHeight="1">
      <x:c r="A10" s="2" t="str">
        <x:v>Ridge (6 đặc trưng)</x:v>
      </x:c>
      <x:c r="B10" s="10" t="n">
        <x:v>0.487237</x:v>
      </x:c>
      <x:c r="C10" s="10" t="n">
        <x:v>0.684204</x:v>
      </x:c>
      <x:c r="D10" s="10" t="n">
        <x:v>0.002519</x:v>
      </x:c>
      <x:c r="E10" s="10" t="n">
        <x:v>0.50943</x:v>
      </x:c>
      <x:c r="F10" s="10" t="n">
        <x:v>0.735831</x:v>
      </x:c>
      <x:c r="G10" s="10" t="n">
        <x:v>0.002164</x:v>
      </x:c>
      <x:c r="H10" s="2" t="n">
        <x:f>1+COUNTIFS($E$7:$E$13,"&lt;"&amp;E10)</x:f>
        <x:v>4</x:v>
      </x:c>
      <x:c r="I10" s="12" t="n">
        <x:f>($E$9-E10)/$E$9</x:f>
        <x:v>0.05305656603584192</x:v>
      </x:c>
      <x:c r="J10" s="12" t="n">
        <x:f>($E$10-E10)/$E$10</x:f>
        <x:v>0</x:v>
      </x:c>
      <x:c r="K10" s="10" t="n">
        <x:f>E10-B10</x:f>
        <x:v>0.022193000000000074</x:v>
      </x:c>
      <x:c r="L10" s="2" t="str">
        <x:v>3–5; val MAE có ở 2</x:v>
      </x:c>
    </x:row>
    <x:row r="11" ht="32" customHeight="1">
      <x:c r="A11" s="8" t="str">
        <x:v>MLP (12–16–1)</x:v>
      </x:c>
      <x:c r="B11" s="9" t="n">
        <x:v>0.368587</x:v>
      </x:c>
      <x:c r="C11" s="9" t="n">
        <x:v>0.523595</x:v>
      </x:c>
      <x:c r="D11" s="9" t="n">
        <x:v>-0.042154</x:v>
      </x:c>
      <x:c r="E11" s="9" t="n">
        <x:v>0.38159</x:v>
      </x:c>
      <x:c r="F11" s="9" t="n">
        <x:v>0.554794</x:v>
      </x:c>
      <x:c r="G11" s="9" t="n">
        <x:v>-0.027573</x:v>
      </x:c>
      <x:c r="H11" s="8" t="n">
        <x:f>1+COUNTIFS($E$7:$E$13,"&lt;"&amp;E11)</x:f>
        <x:v>1</x:v>
      </x:c>
      <x:c r="I11" s="11" t="n">
        <x:f>($E$9-E11)/$E$9</x:f>
        <x:v>0.29068930968654566</x:v>
      </x:c>
      <x:c r="J11" s="11" t="n">
        <x:f>($E$10-E11)/$E$10</x:f>
        <x:v>0.2509471369962508</x:v>
      </x:c>
      <x:c r="K11" s="9" t="n">
        <x:f>E11-B11</x:f>
        <x:v>0.013002999999999987</x:v>
      </x:c>
      <x:c r="L11" s="8" t="str">
        <x:v>3</x:v>
      </x:c>
    </x:row>
    <x:row r="12" ht="32" customHeight="1">
      <x:c r="A12" s="2" t="str">
        <x:v>RBF (12–16–1)</x:v>
      </x:c>
      <x:c r="B12" s="10" t="n">
        <x:v>0.486782</x:v>
      </x:c>
      <x:c r="C12" s="10" t="n">
        <x:v>0.67722</x:v>
      </x:c>
      <x:c r="D12" s="10" t="n">
        <x:v>-0.027351</x:v>
      </x:c>
      <x:c r="E12" s="10" t="n">
        <x:v>0.505014</x:v>
      </x:c>
      <x:c r="F12" s="10" t="n">
        <x:v>0.726367</x:v>
      </x:c>
      <x:c r="G12" s="10" t="n">
        <x:v>0.000237</x:v>
      </x:c>
      <x:c r="H12" s="2" t="n">
        <x:f>1+COUNTIFS($E$7:$E$13,"&lt;"&amp;E12)</x:f>
        <x:v>3</x:v>
      </x:c>
      <x:c r="I12" s="12" t="n">
        <x:f>($E$9-E12)/$E$9</x:f>
        <x:v>0.06126515642978378</x:v>
      </x:c>
      <x:c r="J12" s="12" t="n">
        <x:f>($E$10-E12)/$E$10</x:f>
        <x:v>0.008668511866203573</x:v>
      </x:c>
      <x:c r="K12" s="10" t="n">
        <x:f>E12-B12</x:f>
        <x:v>0.01823199999999997</x:v>
      </x:c>
      <x:c r="L12" s="2" t="str">
        <x:v>4</x:v>
      </x:c>
    </x:row>
    <x:row r="13" ht="32" customHeight="1">
      <x:c r="A13" s="8" t="str">
        <x:v>Boosted Trees (32)</x:v>
      </x:c>
      <x:c r="B13" s="9" t="n">
        <x:v>0.456261</x:v>
      </x:c>
      <x:c r="C13" s="9" t="n">
        <x:v>0.647297</x:v>
      </x:c>
      <x:c r="D13" s="9" t="n">
        <x:v>-0.03255</x:v>
      </x:c>
      <x:c r="E13" s="9" t="n">
        <x:v>0.473247</x:v>
      </x:c>
      <x:c r="F13" s="9" t="n">
        <x:v>0.691663</x:v>
      </x:c>
      <x:c r="G13" s="9" t="n">
        <x:v>-0.011374</x:v>
      </x:c>
      <x:c r="H13" s="8" t="n">
        <x:f>1+COUNTIFS($E$7:$E$13,"&lt;"&amp;E13)</x:f>
        <x:v>2</x:v>
      </x:c>
      <x:c r="I13" s="11" t="n">
        <x:f>($E$9-E13)/$E$9</x:f>
        <x:v>0.12031458827859401</x:v>
      </x:c>
      <x:c r="J13" s="11" t="n">
        <x:f>($E$10-E13)/$E$10</x:f>
        <x:v>0.07102644131676594</x:v>
      </x:c>
      <x:c r="K13" s="9" t="n">
        <x:f>E13-B13</x:f>
        <x:v>0.016985999999999946</x:v>
      </x:c>
      <x:c r="L13" s="8" t="str">
        <x:v>5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Mô hình có MAE test thấp nhất</x:v>
      </x:c>
      <x:c r="B15" s="2" t="str">
        <x:f>INDEX(A7:A13,MATCH(MIN(E7:E13),E7:E13,0))</x:f>
        <x:v>MLP (12–16–1)</x:v>
      </x:c>
      <x:c r="C15" s="2"/>
      <x:c r="D15" s="2" t="str">
        <x:v>Xếp hạng theo MAE test. Tỷ lệ dương nghĩa là giảm sai số; tỷ lệ âm nghĩa là kém hơn mốc so sánh.</x:v>
      </x:c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 t="str">
        <x:v>MLP giảm MAE so với Ridge</x:v>
      </x:c>
      <x:c r="B16" s="12" t="n">
        <x:f>J11</x:f>
        <x:v>0.2509471369962508</x:v>
      </x:c>
      <x:c r="C16" s="2"/>
      <x:c r="D16" s="2" t="str">
        <x:v>Bias âm: dự báo thấp trung bình. Bias gần 0 vẫn có thể đi kèm sai số từng mẫu lớn.</x:v>
      </x:c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3" t="str">
        <x:v>NHẬN XÉT VÀ PHẠM VI KẾT LUẬN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 t="str">
        <x:v>MLP có MAE và RMSE test thấp nhất trong 7 phương án được ghi nhận. Đây là kết quả floating-point trên tập dữ liệu hiện tại.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 t="str">
        <x:v>Boosted Trees xếp thứ 2 theo MAE test. RBF chỉ nhỉnh hơn Ridge; chưa có kiểm định để kết luận khác biệt có ý nghĩa thống kê.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 t="str">
        <x:v>Test − validation dương là sai số tăng trên năm 2025. Riêng chênh lệch này không đủ để kết luận overfitting vì hai giai đoạn khác nhau.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 t="str">
        <x:v>OLS dùng 2 đặc trưng, Ridge dùng 6, các mô hình phi tuyến dùng 12. Chênh lệch kết quả gồm cả ảnh hưởng của mô hình và bộ đặc trưng.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 t="str">
        <x:v>Chưa có LUT, DSP, BRAM, Fmax, latency, công suất, sai số fixed-point hoặc kiểm chứng RTL trong các log này.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 t="str">
        <x:v>Nếu tiếp tục chỉnh mô hình sau khi xem test 2025, cần một giai đoạn chưa dùng hoặc đánh giá rolling-origin cho kết luận cuối.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 t="str">
        <x:v>Cảnh báo FigureCanvasAgg ở log 1 chỉ liên quan plt.show(): không mở được cửa sổ tương tác, không làm sai kết quả huấn luyện.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</x:sheetData>
  <x:conditionalFormatting sqref="E7:E13">
    <x:cfRule type="colorScale" priority="1">
      <x:colorScale>
        <x:cfvo type="min"/>
        <x:cfvo type="percentile" val="50"/>
        <x:cfvo type="max"/>
        <x:color rgb="FFDAEFDF"/>
        <x:color rgb="FFFFF3DA"/>
        <x:color rgb="FFF1CBCD"/>
      </x:colorScale>
    </x:cfRule>
  </x:conditionalFormatting>
  <x:pageMargins left="0.7" right="0.7" top="0.75" bottom="0.75" header="0.3" footer="0.3"/>
  <x:drawing xmlns:r="http://schemas.openxmlformats.org/officeDocument/2006/relationships" r:id="R77c962b35b4b4668"/>
</x:worksheet>
</file>

<file path=xl/worksheets/sheet2.xml><?xml version="1.0" encoding="utf-8"?>
<x:worksheet xmlns:x="http://schemas.openxmlformats.org/spreadsheetml/2006/main">
  <x:sheetPr>
    <x:tabColor rgb="FF2463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33" hidden="0" customWidth="1"/>
    <x:col min="4" max="4" width="43" hidden="0" customWidth="1"/>
    <x:col min="5" max="5" width="46" hidden="0" customWidth="1"/>
    <x:col min="6" max="6" width="48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0" customHeight="1">
      <x:c r="A2" s="3" t="str">
        <x:v>CẤU HÌNH VÀ HỆ SỐ</x:v>
      </x:c>
      <x:c r="B2" s="2"/>
      <x:c r="C2" s="2"/>
      <x:c r="D2" s="2"/>
      <x:c r="E2" s="2"/>
      <x:c r="F2" s="2"/>
    </x:row>
    <x:row r="3" ht="24" customHeight="1">
      <x:c r="A3" s="2" t="str">
        <x:v>Nguồn: cấu hình được in trong log; cấu trúc/đặc trưng theo thiết kế đã cung cấp trong hội thoại.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42" customHeight="1">
      <x:c r="A5" s="7" t="str">
        <x:v>Mô hình</x:v>
      </x:c>
      <x:c r="B5" s="7" t="str">
        <x:v>Đặc trưng</x:v>
      </x:c>
      <x:c r="C5" s="7" t="str">
        <x:v>Quy mô / tham số</x:v>
      </x:c>
      <x:c r="D5" s="7" t="str">
        <x:v>Cấu hình được chọn</x:v>
      </x:c>
      <x:c r="E5" s="7" t="str">
        <x:v>Phép tính khi suy luận</x:v>
      </x:c>
      <x:c r="F5" s="7" t="str">
        <x:v>Cơ sở và giới hạn</x:v>
      </x:c>
    </x:row>
    <x:row r="6" ht="74" customHeight="1">
      <x:c r="A6" s="14" t="str">
        <x:v>Persistence</x:v>
      </x:c>
      <x:c r="B6" s="25" t="n">
        <x:v>1</x:v>
      </x:c>
      <x:c r="C6" s="14" t="str">
        <x:v>0 tham số học</x:v>
      </x:c>
      <x:c r="D6" s="14" t="str">
        <x:v>T̂(t+3) = T(t)</x:v>
      </x:c>
      <x:c r="E6" s="14" t="str">
        <x:v>Đọc nhiệt độ hiện tại</x:v>
      </x:c>
      <x:c r="F6" s="14" t="str">
        <x:v>Baseline, không huấn luyện</x:v>
      </x:c>
    </x:row>
    <x:row r="7" ht="74" customHeight="1">
      <x:c r="A7" s="15" t="str">
        <x:v>Diurnal</x:v>
      </x:c>
      <x:c r="B7" s="26" t="n">
        <x:v>1</x:v>
      </x:c>
      <x:c r="C7" s="15" t="str">
        <x:v>0 tham số học</x:v>
      </x:c>
      <x:c r="D7" s="15" t="str">
        <x:v>T̂(t+3) = T(t−21)</x:v>
      </x:c>
      <x:c r="E7" s="15" t="str">
        <x:v>Đọc tap t−21</x:v>
      </x:c>
      <x:c r="F7" s="15" t="str">
        <x:v>Baseline cùng giờ ngày hôm trước</x:v>
      </x:c>
    </x:row>
    <x:row r="8" ht="74" customHeight="1">
      <x:c r="A8" s="14" t="str">
        <x:v>OLS</x:v>
      </x:c>
      <x:c r="B8" s="25" t="n">
        <x:v>2</x:v>
      </x:c>
      <x:c r="C8" s="14" t="str">
        <x:v>3 hệ số học: a, b, c</x:v>
      </x:c>
      <x:c r="D8" s="14" t="str">
        <x:v>OLS, không có alpha</x:v>
      </x:c>
      <x:c r="E8" s="14" t="str">
        <x:v>2 tích trọng số + cộng</x:v>
      </x:c>
      <x:c r="F8" s="14" t="str">
        <x:v>Hệ số ở bảng bên dưới; 2 đặc trưng không đồng nghĩa 2 tap</x:v>
      </x:c>
    </x:row>
    <x:row r="9" ht="74" customHeight="1">
      <x:c r="A9" s="15" t="str">
        <x:v>Ridge</x:v>
      </x:c>
      <x:c r="B9" s="26" t="n">
        <x:v>6</x:v>
      </x:c>
      <x:c r="C9" s="15" t="str">
        <x:v>7 hệ số học: w1…w6, c</x:v>
      </x:c>
      <x:c r="D9" s="15" t="str">
        <x:v>alpha = 100</x:v>
      </x:c>
      <x:c r="E9" s="15" t="str">
        <x:v>6 tích trọng số + cộng</x:v>
      </x:c>
      <x:c r="F9" s="15" t="str">
        <x:v>Tên file 7_param nói đến 7 hệ số, gồm bias</x:v>
      </x:c>
    </x:row>
    <x:row r="10" ht="74" customHeight="1">
      <x:c r="A10" s="14" t="str">
        <x:v>MLP</x:v>
      </x:c>
      <x:c r="B10" s="25" t="n">
        <x:v>12</x:v>
      </x:c>
      <x:c r="C10" s="14" t="str">
        <x:v>225 trọng số và bias</x:v>
      </x:c>
      <x:c r="D10" s="14" t="str">
        <x:v>12–16–1, ReLU; alpha = 0.001; epoch = 247</x:v>
      </x:c>
      <x:c r="E10" s="14" t="str">
        <x:v>208 tích trọng số + 16 ReLU, chưa tính tạo đặc trưng</x:v>
      </x:c>
      <x:c r="F10" s="14" t="str">
        <x:v>12×16 + 16 + 16×1 + 1 = 225; không phải 225 DSP</x:v>
      </x:c>
    </x:row>
    <x:row r="11" ht="74" customHeight="1">
      <x:c r="A11" s="15" t="str">
        <x:v>RBF</x:v>
      </x:c>
      <x:c r="B11" s="26" t="n">
        <x:v>12</x:v>
      </x:c>
      <x:c r="C11" s="15" t="str">
        <x:v>210 giá trị mô hình + 24 giá trị chuẩn hóa</x:v>
      </x:c>
      <x:c r="D11" s="15" t="str">
        <x:v>16 tâm; gamma = 0.01; alpha = 0.01</x:v>
      </x:c>
      <x:c r="E11" s="15" t="str">
        <x:v>192 bình phương chênh lệch, 16 Gaussian, tổng có trọng số</x:v>
      </x:c>
      <x:c r="F11" s="15" t="str">
        <x:v>192 tọa độ tâm + 16 trọng số + bias + gamma; gamma được chọn, không fit bằng Ridge</x:v>
      </x:c>
    </x:row>
    <x:row r="12" ht="74" customHeight="1">
      <x:c r="A12" s="14" t="str">
        <x:v>Boosted Trees</x:v>
      </x:c>
      <x:c r="B12" s="25" t="n">
        <x:v>12</x:v>
      </x:c>
      <x:c r="C12" s="14" t="str">
        <x:v>32 cây; tối đa 224 nút chia + 256 lá</x:v>
      </x:c>
      <x:c r="D12" s="14" t="str">
        <x:v>Độ sâu ≤3; learning_rate = 0.2</x:v>
      </x:c>
      <x:c r="E12" s="14" t="str">
        <x:v>≤96 so sánh theo đường đi + cộng lá</x:v>
      </x:c>
      <x:c r="F12" s="14" t="str">
        <x:v>Số nút/lá thực tế chưa in trong log; không quy đổi trực tiếp thành tham số neural network</x:v>
      </x:c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/>
      <x:c r="B14" s="2"/>
      <x:c r="C14" s="2"/>
      <x:c r="D14" s="2"/>
      <x:c r="E14" s="2"/>
      <x:c r="F14" s="2"/>
    </x:row>
    <x:row r="15" ht="42" customHeight="1">
      <x:c r="A15" s="7" t="str">
        <x:v>Mô hình</x:v>
      </x:c>
      <x:c r="B15" s="7" t="str">
        <x:v>Hệ số</x:v>
      </x:c>
      <x:c r="C15" s="7" t="str">
        <x:v>Giá trị</x:v>
      </x:c>
      <x:c r="D15" s="7" t="str">
        <x:v>Áp dụng cho</x:v>
      </x:c>
      <x:c r="E15" s="7" t="str">
        <x:v>Ý nghĩa</x:v>
      </x:c>
      <x:c r="F15" s="7" t="str">
        <x:v>Nguồn</x:v>
      </x:c>
    </x:row>
    <x:row r="16" ht="24" customHeight="1">
      <x:c r="A16" s="8" t="str">
        <x:v>OLS</x:v>
      </x:c>
      <x:c r="B16" s="8" t="str">
        <x:v>a</x:v>
      </x:c>
      <x:c r="C16" s="16" t="n">
        <x:v>0.745487043853</x:v>
      </x:c>
      <x:c r="D16" s="8" t="str">
        <x:v>T(t) − T(t−24)</x:v>
      </x:c>
      <x:c r="E16" s="8" t="str">
        <x:v>Hiệu chỉnh thay đổi giữa hai ngày</x:v>
      </x:c>
      <x:c r="F16" s="8" t="str">
        <x:v>Log 1</x:v>
      </x:c>
    </x:row>
    <x:row r="17" ht="24" customHeight="1">
      <x:c r="A17" s="2" t="str">
        <x:v>OLS</x:v>
      </x:c>
      <x:c r="B17" s="2" t="str">
        <x:v>b</x:v>
      </x:c>
      <x:c r="C17" s="17" t="n">
        <x:v>0.00914944498689</x:v>
      </x:c>
      <x:c r="D17" s="2" t="str">
        <x:v>T(t) − T(t−3)</x:v>
      </x:c>
      <x:c r="E17" s="2" t="str">
        <x:v>Hiệu chỉnh biến thiên 3 giờ gần nhất</x:v>
      </x:c>
      <x:c r="F17" s="2" t="str">
        <x:v>Log 1</x:v>
      </x:c>
    </x:row>
    <x:row r="18" ht="24" customHeight="1">
      <x:c r="A18" s="8" t="str">
        <x:v>OLS</x:v>
      </x:c>
      <x:c r="B18" s="8" t="str">
        <x:v>c</x:v>
      </x:c>
      <x:c r="C18" s="16" t="n">
        <x:v>0.00112958165554</x:v>
      </x:c>
      <x:c r="D18" s="8" t="str">
        <x:v>Hằng số (°C)</x:v>
      </x:c>
      <x:c r="E18" s="8" t="str">
        <x:v>Độ lệch hằng trong phần hiệu chỉnh</x:v>
      </x:c>
      <x:c r="F18" s="8" t="str">
        <x:v>Log 1</x:v>
      </x:c>
    </x:row>
    <x:row r="19" ht="24" customHeight="1">
      <x:c r="A19" s="2" t="str">
        <x:v>Ridge</x:v>
      </x:c>
      <x:c r="B19" s="2" t="str">
        <x:v>w1</x:v>
      </x:c>
      <x:c r="C19" s="17" t="n">
        <x:v>0.758895278214</x:v>
      </x:c>
      <x:c r="D19" s="2" t="str">
        <x:v>x1</x:v>
      </x:c>
      <x:c r="E19" s="2" t="str">
        <x:v>Hệ số sau khi gộp chuẩn hóa</x:v>
      </x:c>
      <x:c r="F19" s="2" t="str">
        <x:v>Log 2</x:v>
      </x:c>
    </x:row>
    <x:row r="20" ht="24" customHeight="1">
      <x:c r="A20" s="8" t="str">
        <x:v>Ridge</x:v>
      </x:c>
      <x:c r="B20" s="8" t="str">
        <x:v>w2</x:v>
      </x:c>
      <x:c r="C20" s="16" t="n">
        <x:v>0.491458178754</x:v>
      </x:c>
      <x:c r="D20" s="8" t="str">
        <x:v>x2</x:v>
      </x:c>
      <x:c r="E20" s="8" t="str">
        <x:v>Hệ số sau khi gộp chuẩn hóa</x:v>
      </x:c>
      <x:c r="F20" s="8" t="str">
        <x:v>Log 2</x:v>
      </x:c>
    </x:row>
    <x:row r="21" ht="24" customHeight="1">
      <x:c r="A21" s="2" t="str">
        <x:v>Ridge</x:v>
      </x:c>
      <x:c r="B21" s="2" t="str">
        <x:v>w3</x:v>
      </x:c>
      <x:c r="C21" s="17" t="n">
        <x:v>-0.226643226114</x:v>
      </x:c>
      <x:c r="D21" s="2" t="str">
        <x:v>x3</x:v>
      </x:c>
      <x:c r="E21" s="2" t="str">
        <x:v>Hệ số sau khi gộp chuẩn hóa</x:v>
      </x:c>
      <x:c r="F21" s="2" t="str">
        <x:v>Log 2</x:v>
      </x:c>
    </x:row>
    <x:row r="22" ht="24" customHeight="1">
      <x:c r="A22" s="8" t="str">
        <x:v>Ridge</x:v>
      </x:c>
      <x:c r="B22" s="8" t="str">
        <x:v>w4</x:v>
      </x:c>
      <x:c r="C22" s="16" t="n">
        <x:v>-0.029243437324</x:v>
      </x:c>
      <x:c r="D22" s="8" t="str">
        <x:v>x4</x:v>
      </x:c>
      <x:c r="E22" s="8" t="str">
        <x:v>Hệ số sau khi gộp chuẩn hóa</x:v>
      </x:c>
      <x:c r="F22" s="8" t="str">
        <x:v>Log 2</x:v>
      </x:c>
    </x:row>
    <x:row r="23" ht="24" customHeight="1">
      <x:c r="A23" s="2" t="str">
        <x:v>Ridge</x:v>
      </x:c>
      <x:c r="B23" s="2" t="str">
        <x:v>w5</x:v>
      </x:c>
      <x:c r="C23" s="17" t="n">
        <x:v>0.166896383933</x:v>
      </x:c>
      <x:c r="D23" s="2" t="str">
        <x:v>x5</x:v>
      </x:c>
      <x:c r="E23" s="2" t="str">
        <x:v>Hệ số sau khi gộp chuẩn hóa</x:v>
      </x:c>
      <x:c r="F23" s="2" t="str">
        <x:v>Log 2</x:v>
      </x:c>
    </x:row>
    <x:row r="24" ht="24" customHeight="1">
      <x:c r="A24" s="8" t="str">
        <x:v>Ridge</x:v>
      </x:c>
      <x:c r="B24" s="8" t="str">
        <x:v>w6</x:v>
      </x:c>
      <x:c r="C24" s="16" t="n">
        <x:v>-0.459862723579</x:v>
      </x:c>
      <x:c r="D24" s="8" t="str">
        <x:v>x6</x:v>
      </x:c>
      <x:c r="E24" s="8" t="str">
        <x:v>Hệ số sau khi gộp chuẩn hóa</x:v>
      </x:c>
      <x:c r="F24" s="8" t="str">
        <x:v>Log 2</x:v>
      </x:c>
    </x:row>
    <x:row r="25" ht="24" customHeight="1">
      <x:c r="A25" s="2" t="str">
        <x:v>Ridge</x:v>
      </x:c>
      <x:c r="B25" s="2" t="str">
        <x:v>c</x:v>
      </x:c>
      <x:c r="C25" s="17" t="n">
        <x:v>0.00105022868928</x:v>
      </x:c>
      <x:c r="D25" s="2" t="str">
        <x:v>Hằng số (°C)</x:v>
      </x:c>
      <x:c r="E25" s="2" t="str">
        <x:v>Bias sau khi gộp chuẩn hóa</x:v>
      </x:c>
      <x:c r="F25" s="2" t="str">
        <x:v>Log 2</x:v>
      </x:c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42" customHeight="1">
      <x:c r="A28" s="7" t="str">
        <x:v>Đặc trưng</x:v>
      </x:c>
      <x:c r="B28" s="7" t="str">
        <x:v>Công thức</x:v>
      </x:c>
      <x:c r="C28" s="7" t="str">
        <x:v>Đơn vị</x:v>
      </x:c>
      <x:c r="D28" s="7" t="str">
        <x:v>Ridge</x:v>
      </x:c>
      <x:c r="E28" s="7" t="str">
        <x:v>MLP / RBF / Trees</x:v>
      </x:c>
      <x:c r="F28" s="7" t="str">
        <x:v>Diễn giải</x:v>
      </x:c>
    </x:row>
    <x:row r="29" ht="42" customHeight="1">
      <x:c r="A29" s="14" t="str">
        <x:v>x1</x:v>
      </x:c>
      <x:c r="B29" s="14" t="str">
        <x:v>T(t) − T(t−24)</x:v>
      </x:c>
      <x:c r="C29" s="14" t="str">
        <x:v>°C</x:v>
      </x:c>
      <x:c r="D29" s="14" t="str">
        <x:v>Có</x:v>
      </x:c>
      <x:c r="E29" s="14" t="str">
        <x:v>Có</x:v>
      </x:c>
      <x:c r="F29" s="14" t="str">
        <x:v>Khác biệt so với giờ hiện tại ngày trước</x:v>
      </x:c>
    </x:row>
    <x:row r="30" ht="42" customHeight="1">
      <x:c r="A30" s="15" t="str">
        <x:v>x2</x:v>
      </x:c>
      <x:c r="B30" s="15" t="str">
        <x:v>T(t) − T(t−1)</x:v>
      </x:c>
      <x:c r="C30" s="15" t="str">
        <x:v>°C</x:v>
      </x:c>
      <x:c r="D30" s="15" t="str">
        <x:v>Có</x:v>
      </x:c>
      <x:c r="E30" s="15" t="str">
        <x:v>Có</x:v>
      </x:c>
      <x:c r="F30" s="15" t="str">
        <x:v>Biến thiên một giờ mới nhất</x:v>
      </x:c>
    </x:row>
    <x:row r="31" ht="42" customHeight="1">
      <x:c r="A31" s="14" t="str">
        <x:v>x3</x:v>
      </x:c>
      <x:c r="B31" s="14" t="str">
        <x:v>T(t−1) − T(t−2)</x:v>
      </x:c>
      <x:c r="C31" s="14" t="str">
        <x:v>°C</x:v>
      </x:c>
      <x:c r="D31" s="14" t="str">
        <x:v>Có</x:v>
      </x:c>
      <x:c r="E31" s="14" t="str">
        <x:v>Có</x:v>
      </x:c>
      <x:c r="F31" s="14" t="str">
        <x:v>Biến thiên một giờ trước đó</x:v>
      </x:c>
    </x:row>
    <x:row r="32" ht="42" customHeight="1">
      <x:c r="A32" s="15" t="str">
        <x:v>x4</x:v>
      </x:c>
      <x:c r="B32" s="15" t="str">
        <x:v>T(t−2) − T(t−3)</x:v>
      </x:c>
      <x:c r="C32" s="15" t="str">
        <x:v>°C</x:v>
      </x:c>
      <x:c r="D32" s="15" t="str">
        <x:v>Có</x:v>
      </x:c>
      <x:c r="E32" s="15" t="str">
        <x:v>Có</x:v>
      </x:c>
      <x:c r="F32" s="15" t="str">
        <x:v>Biến thiên một giờ trước nữa</x:v>
      </x:c>
    </x:row>
    <x:row r="33" ht="42" customHeight="1">
      <x:c r="A33" s="14" t="str">
        <x:v>x5</x:v>
      </x:c>
      <x:c r="B33" s="14" t="str">
        <x:v>T(t−21) − T(t−22)</x:v>
      </x:c>
      <x:c r="C33" s="14" t="str">
        <x:v>°C</x:v>
      </x:c>
      <x:c r="D33" s="14" t="str">
        <x:v>Có</x:v>
      </x:c>
      <x:c r="E33" s="14" t="str">
        <x:v>Có</x:v>
      </x:c>
      <x:c r="F33" s="14" t="str">
        <x:v>Xu hướng ngày trước gần giờ cần dự báo</x:v>
      </x:c>
    </x:row>
    <x:row r="34" ht="42" customHeight="1">
      <x:c r="A34" s="15" t="str">
        <x:v>x6</x:v>
      </x:c>
      <x:c r="B34" s="15" t="str">
        <x:v>T(t−22) − T(t−23)</x:v>
      </x:c>
      <x:c r="C34" s="15" t="str">
        <x:v>°C</x:v>
      </x:c>
      <x:c r="D34" s="15" t="str">
        <x:v>Có</x:v>
      </x:c>
      <x:c r="E34" s="15" t="str">
        <x:v>Có</x:v>
      </x:c>
      <x:c r="F34" s="15" t="str">
        <x:v>Xu hướng ngày trước ở giờ liền kề</x:v>
      </x:c>
    </x:row>
    <x:row r="35" ht="42" customHeight="1">
      <x:c r="A35" s="14" t="str">
        <x:v>current</x:v>
      </x:c>
      <x:c r="B35" s="14" t="str">
        <x:v>T(t)</x:v>
      </x:c>
      <x:c r="C35" s="14" t="str">
        <x:v>°C</x:v>
      </x:c>
      <x:c r="D35" s="14" t="str">
        <x:v>Không</x:v>
      </x:c>
      <x:c r="E35" s="14" t="str">
        <x:v>Có</x:v>
      </x:c>
      <x:c r="F35" s="14" t="str">
        <x:v>Mức nhiệt độ hiện tại</x:v>
      </x:c>
    </x:row>
    <x:row r="36" ht="42" customHeight="1">
      <x:c r="A36" s="15" t="str">
        <x:v>anchor</x:v>
      </x:c>
      <x:c r="B36" s="15" t="str">
        <x:v>T(t−21)</x:v>
      </x:c>
      <x:c r="C36" s="15" t="str">
        <x:v>°C</x:v>
      </x:c>
      <x:c r="D36" s="15" t="str">
        <x:v>Cộng ngoài mô hình</x:v>
      </x:c>
      <x:c r="E36" s="15" t="str">
        <x:v>Có; cũng cộng ngoài mô hình</x:v>
      </x:c>
      <x:c r="F36" s="15" t="str">
        <x:v>Mốc cùng giờ ngày hôm trước của t+3</x:v>
      </x:c>
    </x:row>
    <x:row r="37" ht="42" customHeight="1">
      <x:c r="A37" s="14" t="str">
        <x:v>delta6</x:v>
      </x:c>
      <x:c r="B37" s="14" t="str">
        <x:v>T(t) − T(t−6)</x:v>
      </x:c>
      <x:c r="C37" s="14" t="str">
        <x:v>°C</x:v>
      </x:c>
      <x:c r="D37" s="14" t="str">
        <x:v>Không</x:v>
      </x:c>
      <x:c r="E37" s="14" t="str">
        <x:v>Có</x:v>
      </x:c>
      <x:c r="F37" s="14" t="str">
        <x:v>Biến thiên 6 giờ</x:v>
      </x:c>
    </x:row>
    <x:row r="38" ht="42" customHeight="1">
      <x:c r="A38" s="15" t="str">
        <x:v>delta12</x:v>
      </x:c>
      <x:c r="B38" s="15" t="str">
        <x:v>T(t) − T(t−12)</x:v>
      </x:c>
      <x:c r="C38" s="15" t="str">
        <x:v>°C</x:v>
      </x:c>
      <x:c r="D38" s="15" t="str">
        <x:v>Không</x:v>
      </x:c>
      <x:c r="E38" s="15" t="str">
        <x:v>Có</x:v>
      </x:c>
      <x:c r="F38" s="15" t="str">
        <x:v>Biến thiên 12 giờ</x:v>
      </x:c>
    </x:row>
    <x:row r="39" ht="42" customHeight="1">
      <x:c r="A39" s="14" t="str">
        <x:v>sin_hour</x:v>
      </x:c>
      <x:c r="B39" s="14" t="str">
        <x:v>sin(2πh/24)</x:v>
      </x:c>
      <x:c r="C39" s="14" t="str">
        <x:v>Không đơn vị</x:v>
      </x:c>
      <x:c r="D39" s="14" t="str">
        <x:v>Không</x:v>
      </x:c>
      <x:c r="E39" s="14" t="str">
        <x:v>Có</x:v>
      </x:c>
      <x:c r="F39" s="14" t="str">
        <x:v>Mã hóa giờ UTC theo chu kỳ</x:v>
      </x:c>
    </x:row>
    <x:row r="40" ht="42" customHeight="1">
      <x:c r="A40" s="15" t="str">
        <x:v>cos_hour</x:v>
      </x:c>
      <x:c r="B40" s="15" t="str">
        <x:v>cos(2πh/24)</x:v>
      </x:c>
      <x:c r="C40" s="15" t="str">
        <x:v>Không đơn vị</x:v>
      </x:c>
      <x:c r="D40" s="15" t="str">
        <x:v>Không</x:v>
      </x:c>
      <x:c r="E40" s="15" t="str">
        <x:v>Có</x:v>
      </x:c>
      <x:c r="F40" s="15" t="str">
        <x:v>Kết hợp sin để biểu diễn pha trong ngày</x:v>
      </x:c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42" customHeight="1">
      <x:c r="A43" s="7" t="str">
        <x:v>Dữ liệu / phân chia</x:v>
      </x:c>
      <x:c r="B43" s="7" t="str">
        <x:v>Giá trị</x:v>
      </x:c>
      <x:c r="C43" s="7" t="str">
        <x:v>Đơn vị</x:v>
      </x:c>
      <x:c r="D43" s="7" t="str">
        <x:v>Giai đoạn / quy tắc</x:v>
      </x:c>
      <x:c r="E43" s="7" t="str">
        <x:v>Ý nghĩa</x:v>
      </x:c>
      <x:c r="F43" s="7" t="str">
        <x:v>Nguồn</x:v>
      </x:c>
    </x:row>
    <x:row r="44" ht="50" customHeight="1">
      <x:c r="A44" s="14" t="str">
        <x:v>Tổng dữ liệu giờ</x:v>
      </x:c>
      <x:c r="B44" s="20" t="n">
        <x:v>43824</x:v>
      </x:c>
      <x:c r="C44" s="14" t="str">
        <x:v>giờ</x:v>
      </x:c>
      <x:c r="D44" s="14" t="str">
        <x:v>2021–2025</x:v>
      </x:c>
      <x:c r="E44" s="14" t="str">
        <x:v>Số dòng dữ liệu gốc</x:v>
      </x:c>
      <x:c r="F44" s="14" t="str">
        <x:v>Log 3</x:v>
      </x:c>
    </x:row>
    <x:row r="45" ht="50" customHeight="1">
      <x:c r="A45" s="15" t="str">
        <x:v>Giờ thiếu</x:v>
      </x:c>
      <x:c r="B45" s="21" t="n">
        <x:v>0</x:v>
      </x:c>
      <x:c r="C45" s="15" t="str">
        <x:v>giờ</x:v>
      </x:c>
      <x:c r="D45" s="15" t="str">
        <x:v>Toàn dữ liệu</x:v>
      </x:c>
      <x:c r="E45" s="15" t="str">
        <x:v>Không thiếu mẫu trong log</x:v>
      </x:c>
      <x:c r="F45" s="15" t="str">
        <x:v>Log 3</x:v>
      </x:c>
    </x:row>
    <x:row r="46" ht="50" customHeight="1">
      <x:c r="A46" s="14" t="str">
        <x:v>Mẫu hợp lệ</x:v>
      </x:c>
      <x:c r="B46" s="20" t="n">
        <x:v>43797</x:v>
      </x:c>
      <x:c r="C46" s="14" t="str">
        <x:v>mẫu</x:v>
      </x:c>
      <x:c r="D46" s="14" t="str">
        <x:v>Sau tạo lịch sử và nhãn</x:v>
      </x:c>
      <x:c r="E46" s="14" t="str">
        <x:v>Cần 25 giờ lịch sử và T(t+3)</x:v>
      </x:c>
      <x:c r="F46" s="14" t="str">
        <x:v>Log 3</x:v>
      </x:c>
    </x:row>
    <x:row r="47" ht="50" customHeight="1">
      <x:c r="A47" s="15" t="str">
        <x:v>Train</x:v>
      </x:c>
      <x:c r="B47" s="21" t="n">
        <x:v>26253</x:v>
      </x:c>
      <x:c r="C47" s="15" t="str">
        <x:v>mẫu</x:v>
      </x:c>
      <x:c r="D47" s="15" t="str">
        <x:v>target_time &lt; 2024-01-01 UTC</x:v>
      </x:c>
      <x:c r="E47" s="15" t="str">
        <x:v>Dùng để fit trọng số / scaler / tâm</x:v>
      </x:c>
      <x:c r="F47" s="15" t="str">
        <x:v>Log 1, 3–5</x:v>
      </x:c>
    </x:row>
    <x:row r="48" ht="50" customHeight="1">
      <x:c r="A48" s="14" t="str">
        <x:v>Validation</x:v>
      </x:c>
      <x:c r="B48" s="20" t="n">
        <x:v>8781</x:v>
      </x:c>
      <x:c r="C48" s="14" t="str">
        <x:v>mẫu</x:v>
      </x:c>
      <x:c r="D48" s="14" t="str">
        <x:v>t ≥ 2024-01-01; t+3 &lt; 2025-01-01</x:v>
      </x:c>
      <x:c r="E48" s="14" t="str">
        <x:v>Chọn siêu tham số</x:v>
      </x:c>
      <x:c r="F48" s="14" t="str">
        <x:v>Log 1, 3–5</x:v>
      </x:c>
    </x:row>
    <x:row r="49" ht="50" customHeight="1">
      <x:c r="A49" s="15" t="str">
        <x:v>Test</x:v>
      </x:c>
      <x:c r="B49" s="21" t="n">
        <x:v>8757</x:v>
      </x:c>
      <x:c r="C49" s="15" t="str">
        <x:v>mẫu</x:v>
      </x:c>
      <x:c r="D49" s="15" t="str">
        <x:v>t ≥ 2025-01-01; có nhãn t+3</x:v>
      </x:c>
      <x:c r="E49" s="15" t="str">
        <x:v>Đánh giá giai đoạn chưa dùng khi fit</x:v>
      </x:c>
      <x:c r="F49" s="15" t="str">
        <x:v>Log 1, 3–5</x:v>
      </x:c>
    </x:row>
    <x:row r="50" ht="50" customHeight="1">
      <x:c r="A50" s="14" t="str">
        <x:v>Tổng mẫu trong 3 tập</x:v>
      </x:c>
      <x:c r="B50" s="20" t="n">
        <x:f>SUM(B47:B49)</x:f>
        <x:v>43791</x:v>
      </x:c>
      <x:c r="C50" s="14" t="str">
        <x:v>mẫu</x:v>
      </x:c>
      <x:c r="D50" s="14" t="str">
        <x:v>Train + validation + test</x:v>
      </x:c>
      <x:c r="E50" s="14" t="str">
        <x:v>Công thức từ số mẫu đã ghi nhận</x:v>
      </x:c>
      <x:c r="F50" s="14" t="str">
        <x:v>Tính từ log</x:v>
      </x:c>
    </x:row>
    <x:row r="51" ht="50" customHeight="1">
      <x:c r="A51" s="15" t="str">
        <x:v>Mẫu loại ở biên split</x:v>
      </x:c>
      <x:c r="B51" s="21" t="n">
        <x:f>B46-B50</x:f>
        <x:v>6</x:v>
      </x:c>
      <x:c r="C51" s="15" t="str">
        <x:v>mẫu</x:v>
      </x:c>
      <x:c r="D51" s="15" t="str">
        <x:v>Hợp lệ − tổng 3 tập</x:v>
      </x:c>
      <x:c r="E51" s="15" t="str">
        <x:v>6 mẫu: nhãn vượt biên train/validation</x:v>
      </x:c>
      <x:c r="F51" s="15" t="str">
        <x:v>Suy ra từ quy tắc chia tập</x:v>
      </x:c>
    </x:row>
    <x:row r="52" ht="50" customHeight="1">
      <x:c r="A52" s="14" t="str">
        <x:v>Mẫu đầu/cuối bị loại</x:v>
      </x:c>
      <x:c r="B52" s="20" t="n">
        <x:f>B44-B46</x:f>
        <x:v>27</x:v>
      </x:c>
      <x:c r="C52" s="14" t="str">
        <x:v>mẫu</x:v>
      </x:c>
      <x:c r="D52" s="14" t="str">
        <x:v>Tổng giờ − mẫu hợp lệ</x:v>
      </x:c>
      <x:c r="E52" s="14" t="str">
        <x:v>24 giờ warm-up và 3 giờ cuối thiếu nhãn</x:v>
      </x:c>
      <x:c r="F52" s="14" t="str">
        <x:v>Suy ra từ horizon/buffer</x:v>
      </x:c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/>
      <x:c r="B54" s="2"/>
      <x:c r="C54" s="2"/>
      <x:c r="D54" s="2"/>
      <x:c r="E54" s="2"/>
      <x:c r="F54" s="2"/>
    </x:row>
    <x:row r="55" ht="42" customHeight="1">
      <x:c r="A55" s="7" t="str">
        <x:v>Chi tiết log 2</x:v>
      </x:c>
      <x:c r="B55" s="7" t="str">
        <x:v>Giá trị</x:v>
      </x:c>
      <x:c r="C55" s="7" t="str">
        <x:v>Đơn vị</x:v>
      </x:c>
      <x:c r="D55" s="7" t="str">
        <x:v>Phạm vi</x:v>
      </x:c>
      <x:c r="E55" s="7" t="str">
        <x:v>Giải thích</x:v>
      </x:c>
      <x:c r="F55" s="7" t="str">
        <x:v>Nguồn</x:v>
      </x:c>
    </x:row>
    <x:row r="56" ht="58" customHeight="1">
      <x:c r="A56" s="15" t="str">
        <x:v>MAE validation Ridge</x:v>
      </x:c>
      <x:c r="B56" s="23" t="n">
        <x:v>0.48723698126588416</x:v>
      </x:c>
      <x:c r="C56" s="15" t="str">
        <x:v>°C</x:v>
      </x:c>
      <x:c r="D56" s="15" t="str">
        <x:v>Cấu hình alpha = 100</x:v>
      </x:c>
      <x:c r="E56" s="15" t="str">
        <x:v>Giá trị nhiều chữ số do log in riêng; bảng so sánh dùng 6 chữ số nhất quán.</x:v>
      </x:c>
      <x:c r="F56" s="15" t="str">
        <x:v>Log 2</x:v>
      </x:c>
    </x:row>
    <x:row r="57" ht="58" customHeight="1">
      <x:c r="A57" s="15" t="str">
        <x:v>Giảm MAE được báo</x:v>
      </x:c>
      <x:c r="B57" s="24" t="n">
        <x:v>0.0482</x:v>
      </x:c>
      <x:c r="C57" s="15" t="str">
        <x:v>Tỷ lệ</x:v>
      </x:c>
      <x:c r="D57" s="15" t="str">
        <x:v>So với OLS trên validation</x:v>
      </x:c>
      <x:c r="E57" s="15" t="str">
        <x:v>4.82% là kết quả làm tròn trong log; khác 5.31% trên test.</x:v>
      </x:c>
      <x:c r="F57" s="15" t="str">
        <x:v>Log 2</x:v>
      </x:c>
    </x:row>
    <x:row r="58" ht="24" customHeight="1">
      <x:c r="A58" s="2"/>
      <x:c r="B58" s="2"/>
      <x:c r="C58" s="2"/>
      <x:c r="D58" s="2"/>
      <x:c r="E58" s="2"/>
      <x:c r="F58" s="2"/>
    </x:row>
    <x:row r="59" ht="24" customHeight="1">
      <x:c r="A59" s="2"/>
      <x:c r="B59" s="2"/>
      <x:c r="C59" s="2"/>
      <x:c r="D59" s="2"/>
      <x:c r="E59" s="2"/>
      <x:c r="F59" s="2"/>
    </x:row>
    <x:row r="60" ht="24" customHeight="1">
      <x:c r="A60" s="2"/>
      <x:c r="B60" s="2"/>
      <x:c r="C60" s="2"/>
      <x:c r="D60" s="2"/>
      <x:c r="E60" s="2"/>
      <x:c r="F60" s="2"/>
    </x:row>
    <x:row r="61" ht="24" customHeight="1">
      <x:c r="A61" s="2"/>
      <x:c r="B61" s="2"/>
      <x:c r="C61" s="2"/>
      <x:c r="D61" s="2"/>
      <x:c r="E61" s="2"/>
      <x:c r="F61" s="2"/>
    </x:row>
    <x:row r="62" ht="24" customHeight="1">
      <x:c r="A62" s="2"/>
      <x:c r="B62" s="2"/>
      <x:c r="C62" s="2"/>
      <x:c r="D62" s="2"/>
      <x:c r="E62" s="2"/>
      <x:c r="F62" s="2"/>
    </x:row>
    <x:row r="63" ht="24" customHeight="1">
      <x:c r="A63" s="2"/>
      <x:c r="B63" s="2"/>
      <x:c r="C63" s="2"/>
      <x:c r="D63" s="2"/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  <x:row r="65" ht="24" customHeight="1">
      <x:c r="A65" s="2"/>
      <x:c r="B65" s="2"/>
      <x:c r="C65" s="2"/>
      <x:c r="D65" s="2"/>
      <x:c r="E65" s="2"/>
      <x:c r="F65" s="2"/>
    </x:row>
    <x:row r="66" ht="24" customHeight="1">
      <x:c r="A66" s="2"/>
      <x:c r="B66" s="2"/>
      <x:c r="C66" s="2"/>
      <x:c r="D66" s="2"/>
      <x:c r="E66" s="2"/>
      <x:c r="F66" s="2"/>
    </x:row>
    <x:row r="67" ht="24" customHeight="1">
      <x:c r="A67" s="2"/>
      <x:c r="B67" s="2"/>
      <x:c r="C67" s="2"/>
      <x:c r="D67" s="2"/>
      <x:c r="E67" s="2"/>
      <x:c r="F6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63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58" hidden="0" customWidth="1"/>
    <x:col min="3" max="3" width="58" hidden="0" customWidth="1"/>
    <x:col min="4" max="4" width="67" hidden="0" customWidth="1"/>
  </x:cols>
  <x:sheetData>
    <x:row r="1" ht="24" customHeight="1">
      <x:c r="A1" s="2"/>
      <x:c r="B1" s="2"/>
      <x:c r="C1" s="2"/>
      <x:c r="D1" s="2"/>
    </x:row>
    <x:row r="2" ht="30" customHeight="1">
      <x:c r="A2" s="3" t="str">
        <x:v>Ý NGHĨA CÁC THÔNG SỐ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24" customHeight="1">
      <x:c r="A4" s="2"/>
      <x:c r="B4" s="2"/>
      <x:c r="C4" s="2"/>
      <x:c r="D4" s="2"/>
    </x:row>
    <x:row r="5" ht="42" customHeight="1">
      <x:c r="A5" s="7" t="str">
        <x:v>Thông số</x:v>
      </x:c>
      <x:c r="B5" s="7" t="str">
        <x:v>Định nghĩa / công thức</x:v>
      </x:c>
      <x:c r="C5" s="7" t="str">
        <x:v>Cách đọc</x:v>
      </x:c>
      <x:c r="D5" s="7" t="str">
        <x:v>Ví dụ / lưu ý</x:v>
      </x:c>
    </x:row>
    <x:row r="6" ht="66" customHeight="1">
      <x:c r="A6" s="14" t="str">
        <x:v>Sai số eᵢ</x:v>
      </x:c>
      <x:c r="B6" s="14" t="str">
        <x:v>eᵢ = dự báoᵢ − thực tếᵢ</x:v>
      </x:c>
      <x:c r="C6" s="14" t="str">
        <x:v>Dương: dự báo cao hơn. Âm: dự báo thấp hơn.</x:v>
      </x:c>
      <x:c r="D6" s="14" t="str">
        <x:v>Tất cả MAE, RMSE, bias trong log dùng °C.</x:v>
      </x:c>
    </x:row>
    <x:row r="7" ht="66" customHeight="1">
      <x:c r="A7" s="15" t="str">
        <x:v>MAE_C</x:v>
      </x:c>
      <x:c r="B7" s="15" t="str">
        <x:v>(1/N) × Σ|eᵢ|</x:v>
      </x:c>
      <x:c r="C7" s="15" t="str">
        <x:v>Sai số tuyệt đối trung bình, càng nhỏ càng tốt.</x:v>
      </x:c>
      <x:c r="D7" s="15" t="str">
        <x:v>MLP test 0.381590°C: lệch tuyệt đối trung bình khoảng 0.382°C, không phải sai số tối đa.</x:v>
      </x:c>
    </x:row>
    <x:row r="8" ht="66" customHeight="1">
      <x:c r="A8" s="14" t="str">
        <x:v>RMSE_C</x:v>
      </x:c>
      <x:c r="B8" s="14" t="str">
        <x:v>sqrt[(1/N) × Σeᵢ²]</x:v>
      </x:c>
      <x:c r="C8" s="14" t="str">
        <x:v>Nhạy hơn MAE với các sai số lớn, càng nhỏ càng tốt.</x:v>
      </x:c>
      <x:c r="D8" s="14" t="str">
        <x:v>MLP test 0.554794°C. RMSE lớn hơn MAE là bình thường.</x:v>
      </x:c>
    </x:row>
    <x:row r="9" ht="66" customHeight="1">
      <x:c r="A9" s="15" t="str">
        <x:v>bias_C</x:v>
      </x:c>
      <x:c r="B9" s="15" t="str">
        <x:v>(1/N) × Σeᵢ</x:v>
      </x:c>
      <x:c r="C9" s="15" t="str">
        <x:v>Độ lệch có hướng. Mong muốn gần 0.</x:v>
      </x:c>
      <x:c r="D9" s="15" t="str">
        <x:v>MLP −0.027573°C: dự báo thấp trung bình khoảng 0.028°C.</x:v>
      </x:c>
    </x:row>
    <x:row r="10" ht="66" customHeight="1">
      <x:c r="A10" s="14" t="str">
        <x:v>Bias nhỏ ≠ MAE nhỏ</x:v>
      </x:c>
      <x:c r="B10" s="14" t="str">
        <x:v>Sai số dương và âm có thể triệt tiêu trong bias.</x:v>
      </x:c>
      <x:c r="C10" s="14" t="str">
        <x:v>Không dùng bias đơn lẻ để xếp hạng chất lượng.</x:v>
      </x:c>
      <x:c r="D10" s="14" t="str">
        <x:v>RBF bias test 0.000237°C gần 0, nhưng MAE 0.505014°C vẫn cao hơn MLP.</x:v>
      </x:c>
    </x:row>
    <x:row r="11" ht="66" customHeight="1">
      <x:c r="A11" s="15" t="str">
        <x:v>Hạng MAE test</x:v>
      </x:c>
      <x:c r="B11" s="15" t="str">
        <x:v>1 + số mô hình có MAE test nhỏ hơn</x:v>
      </x:c>
      <x:c r="C11" s="15" t="str">
        <x:v>1 là tốt nhất. Có thể có đồng hạng nếu MAE bằng nhau.</x:v>
      </x:c>
      <x:c r="D11" s="15" t="str">
        <x:v>Bảng gồm 5 mô hình học và 2 baseline.</x:v>
      </x:c>
    </x:row>
    <x:row r="12" ht="66" customHeight="1">
      <x:c r="A12" s="14" t="str">
        <x:v>Giảm MAE (%)</x:v>
      </x:c>
      <x:c r="B12" s="14" t="str">
        <x:v>(MAE mốc − MAE mô hình) / MAE mốc</x:v>
      </x:c>
      <x:c r="C12" s="14" t="str">
        <x:v>Dương là tốt hơn mốc; 0 ngang mốc; âm là kém hơn.</x:v>
      </x:c>
      <x:c r="D12" s="14" t="str">
        <x:v>Đây là tỷ lệ giảm sai số, không phải phần trăm độ chính xác.</x:v>
      </x:c>
    </x:row>
    <x:row r="13" ht="66" customHeight="1">
      <x:c r="A13" s="15" t="str">
        <x:v>Test − validation</x:v>
      </x:c>
      <x:c r="B13" s="15" t="str">
        <x:v>MAE test − MAE validation</x:v>
      </x:c>
      <x:c r="C13" s="15" t="str">
        <x:v>Dương: sai số trên test cao hơn.</x:v>
      </x:c>
      <x:c r="D13" s="15" t="str">
        <x:v>Không thể kết luận overfitting chỉ bằng chênh lệch giữa hai năm.</x:v>
      </x:c>
    </x:row>
    <x:row r="14" ht="66" customHeight="1">
      <x:c r="A14" s="14" t="str">
        <x:v>Train</x:v>
      </x:c>
      <x:c r="B14" s="14" t="str">
        <x:v>Tập dùng để học trọng số, scaler hoặc các tâm</x:v>
      </x:c>
      <x:c r="C14" s="14" t="str">
        <x:v>Chỉ dữ liệu quá khứ tham gia fit.</x:v>
      </x:c>
      <x:c r="D14" s="14" t="str">
        <x:v>26.253 mẫu, nhãn trước năm 2024.</x:v>
      </x:c>
    </x:row>
    <x:row r="15" ht="66" customHeight="1">
      <x:c r="A15" s="15" t="str">
        <x:v>Validation</x:v>
      </x:c>
      <x:c r="B15" s="15" t="str">
        <x:v>Tập chọn siêu tham số / checkpoint</x:v>
      </x:c>
      <x:c r="C15" s="15" t="str">
        <x:v>Không dùng nó như test cuối độc lập.</x:v>
      </x:c>
      <x:c r="D15" s="15" t="str">
        <x:v>8.781 mẫu năm 2024.</x:v>
      </x:c>
    </x:row>
    <x:row r="16" ht="66" customHeight="1">
      <x:c r="A16" s="14" t="str">
        <x:v>Test</x:v>
      </x:c>
      <x:c r="B16" s="14" t="str">
        <x:v>Tập đánh giá sau khi chốt cấu hình</x:v>
      </x:c>
      <x:c r="C16" s="14" t="str">
        <x:v>Giữ độc lập với bước lựa chọn và huấn luyện.</x:v>
      </x:c>
      <x:c r="D16" s="14" t="str">
        <x:v>8.757 mẫu năm 2025.</x:v>
      </x:c>
    </x:row>
    <x:row r="17" ht="66" customHeight="1">
      <x:c r="A17" s="15" t="str">
        <x:v>Horizon</x:v>
      </x:c>
      <x:c r="B17" s="15" t="str">
        <x:v>Khoảng thời gian từ t đến thời điểm cần dự báo</x:v>
      </x:c>
      <x:c r="C17" s="15" t="str">
        <x:v>Trong đồ án: 3 giờ.</x:v>
      </x:c>
      <x:c r="D17" s="15" t="str">
        <x:v>Không phải latency xử lý FPGA.</x:v>
      </x:c>
    </x:row>
    <x:row r="18" ht="66" customHeight="1">
      <x:c r="A18" s="14" t="str">
        <x:v>Diurnal anchor</x:v>
      </x:c>
      <x:c r="B18" s="14" t="str">
        <x:v>T(t−21), vì (t+3)−24 = t−21</x:v>
      </x:c>
      <x:c r="C18" s="14" t="str">
        <x:v>Nhiệt độ cùng giờ ngày trước của thời điểm đích.</x:v>
      </x:c>
      <x:c r="D18" s="14" t="str">
        <x:v>Các mô hình học dự báo phần dư so với anchor.</x:v>
      </x:c>
    </x:row>
    <x:row r="19" ht="66" customHeight="1">
      <x:c r="A19" s="15" t="str">
        <x:v>Residual target y</x:v>
      </x:c>
      <x:c r="B19" s="15" t="str">
        <x:v>T(t+3) − T(t−21)</x:v>
      </x:c>
      <x:c r="C19" s="15" t="str">
        <x:v>Nhãn dùng để huấn luyện phần hiệu chỉnh.</x:v>
      </x:c>
      <x:c r="D19" s="15" t="str">
        <x:v>Cộng anchor trở lại để có dự báo nhiệt độ.</x:v>
      </x:c>
    </x:row>
    <x:row r="20" ht="66" customHeight="1">
      <x:c r="A20" s="14" t="str">
        <x:v>Tham số học</x:v>
      </x:c>
      <x:c r="B20" s="14" t="str">
        <x:v>Hệ số được ước lượng từ train</x:v>
      </x:c>
      <x:c r="C20" s="14" t="str">
        <x:v>Ví dụ w, bias; khác siêu tham số do cấu hình/chọn trên validation.</x:v>
      </x:c>
      <x:c r="D20" s="14" t="str">
        <x:v>Ridge: 6 trọng số + bias = 7 tham số.</x:v>
      </x:c>
    </x:row>
    <x:row r="21" ht="66" customHeight="1">
      <x:c r="A21" s="15" t="str">
        <x:v>a, b, wⱼ</x:v>
      </x:c>
      <x:c r="B21" s="15" t="str">
        <x:v>Hệ số nhân với đặc trưng đầu vào</x:v>
      </x:c>
      <x:c r="C21" s="15" t="str">
        <x:v>Dấu cho biết hướng đóng góp khi các đầu vào khác giữ nguyên.</x:v>
      </x:c>
      <x:c r="D21" s="15" t="str">
        <x:v>Không suy ra quan hệ nhân quả hoặc độ quan trọng chỉ từ độ lớn hệ số.</x:v>
      </x:c>
    </x:row>
    <x:row r="22" ht="66" customHeight="1">
      <x:c r="A22" s="14" t="str">
        <x:v>Bias của mô hình c</x:v>
      </x:c>
      <x:c r="B22" s="14" t="str">
        <x:v>Hằng số cộng trong công thức mô hình</x:v>
      </x:c>
      <x:c r="C22" s="14" t="str">
        <x:v>Một tham số học, không phải chỉ số bias_C.</x:v>
      </x:c>
      <x:c r="D22" s="14" t="str">
        <x:v>OLS c = 0.00112958165554°C.</x:v>
      </x:c>
    </x:row>
    <x:row r="23" ht="66" customHeight="1">
      <x:c r="A23" s="15" t="str">
        <x:v>alpha (Ridge / RBF)</x:v>
      </x:c>
      <x:c r="B23" s="15" t="str">
        <x:v>Mức phạt L2 lên trọng số đầu ra</x:v>
      </x:c>
      <x:c r="C23" s="15" t="str">
        <x:v>Lớn hơn làm trọng số bị co mạnh hơn.</x:v>
      </x:c>
      <x:c r="D23" s="15" t="str">
        <x:v>Ridge chọn 100; RBF chọn 0.01. Thang đặc trưng khác nhau nên không so alpha trực tiếp.</x:v>
      </x:c>
    </x:row>
    <x:row r="24" ht="66" customHeight="1">
      <x:c r="A24" s="14" t="str">
        <x:v>alpha (MLP)</x:v>
      </x:c>
      <x:c r="B24" s="14" t="str">
        <x:v>Hệ số regularization L2 của mạng</x:v>
      </x:c>
      <x:c r="C24" s="14" t="str">
        <x:v>Hạn chế độ lớn trọng số, không phải learning rate.</x:v>
      </x:c>
      <x:c r="D24" s="14" t="str">
        <x:v>MLP chọn 0.001. Không so trị số với alpha Ridge để kết luận mức phạt tương đương.</x:v>
      </x:c>
    </x:row>
    <x:row r="25" ht="66" customHeight="1">
      <x:c r="A25" s="15" t="str">
        <x:v>Epoch</x:v>
      </x:c>
      <x:c r="B25" s="15" t="str">
        <x:v>Một lượt xử lý toàn tập train</x:v>
      </x:c>
      <x:c r="C25" s="15" t="str">
        <x:v>Checkpoint được chọn bằng MAE validation.</x:v>
      </x:c>
      <x:c r="D25" s="15" t="str">
        <x:v>Chạy tối đa 250 epoch, chọn epoch 247; không có nghĩa dừng huấn luyện tại 247.</x:v>
      </x:c>
    </x:row>
    <x:row r="26" ht="66" customHeight="1">
      <x:c r="A26" s="14" t="str">
        <x:v>12–16–1 (MLP)</x:v>
      </x:c>
      <x:c r="B26" s="14" t="str">
        <x:v>12 đầu vào, 16 neuron ẩn, 1 đầu ra</x:v>
      </x:c>
      <x:c r="C26" s="14" t="str">
        <x:v>Một lớp ẩn dùng ReLU.</x:v>
      </x:c>
      <x:c r="D26" s="14" t="str">
        <x:v>225 trọng số/bias; 208 phép nhân trọng số mỗi dự báo, chưa tính tạo đặc trưng.</x:v>
      </x:c>
    </x:row>
    <x:row r="27" ht="66" customHeight="1">
      <x:c r="A27" s="15" t="str">
        <x:v>ReLU</x:v>
      </x:c>
      <x:c r="B27" s="15" t="str">
        <x:v>max(0,z)</x:v>
      </x:c>
      <x:c r="C27" s="15" t="str">
        <x:v>Giữ số dương, đưa số âm về 0.</x:v>
      </x:c>
      <x:c r="D27" s="15" t="str">
        <x:v>Dễ triển khai bằng kiểm tra dấu và chọn dữ liệu.</x:v>
      </x:c>
    </x:row>
    <x:row r="28" ht="66" customHeight="1">
      <x:c r="A28" s="14" t="str">
        <x:v>Tâm RBF μⱼ</x:v>
      </x:c>
      <x:c r="B28" s="14" t="str">
        <x:v>Vector đại diện trong không gian đầu vào chuẩn hóa</x:v>
      </x:c>
      <x:c r="C28" s="14" t="str">
        <x:v>K-means tìm 16 tâm từ train trong thiết kế này.</x:v>
      </x:c>
      <x:c r="D28" s="14" t="str">
        <x:v>Mỗi tâm có 12 tọa độ.</x:v>
      </x:c>
    </x:row>
    <x:row r="29" ht="66" customHeight="1">
      <x:c r="A29" s="15" t="str">
        <x:v>gamma (RBF)</x:v>
      </x:c>
      <x:c r="B29" s="15" t="str">
        <x:v>φⱼ = exp(−gamma × ||z−μⱼ||²)</x:v>
      </x:c>
      <x:c r="C29" s="15" t="str">
        <x:v>Gamma nhỏ: ảnh hưởng rộng. Gamma lớn: ảnh hưởng hẹp.</x:v>
      </x:c>
      <x:c r="D29" s="15" t="str">
        <x:v>Chọn gamma 0.01, nhỏ nhất trong dải đã thử; chưa chứng minh là tối ưu toàn cục.</x:v>
      </x:c>
    </x:row>
    <x:row r="30" ht="66" customHeight="1">
      <x:c r="A30" s="14" t="str">
        <x:v>learning_rate (Trees)</x:v>
      </x:c>
      <x:c r="B30" s="14" t="str">
        <x:v>Hệ số nhân đóng góp của mỗi cây</x:v>
      </x:c>
      <x:c r="C30" s="14" t="str">
        <x:v>Cần xét cùng số cây và độ sâu.</x:v>
      </x:c>
      <x:c r="D30" s="14" t="str">
        <x:v>Chọn 0.2 trong {0.05,0.1,0.2}; không phải mức chính xác 20%.</x:v>
      </x:c>
    </x:row>
    <x:row r="31" ht="66" customHeight="1">
      <x:c r="A31" s="15" t="str">
        <x:v>n_estimators</x:v>
      </x:c>
      <x:c r="B31" s="15" t="str">
        <x:v>Số cây trong mô hình boosting</x:v>
      </x:c>
      <x:c r="C31" s="15" t="str">
        <x:v>Trong cấu hình này cố định 32 cây.</x:v>
      </x:c>
      <x:c r="D31" s="15" t="str">
        <x:v>Nhiều cây hơn có thể tăng khả năng biểu diễn và chi phí; không đảm bảo tốt hơn.</x:v>
      </x:c>
    </x:row>
    <x:row r="32" ht="66" customHeight="1">
      <x:c r="A32" s="14" t="str">
        <x:v>max_depth</x:v>
      </x:c>
      <x:c r="B32" s="14" t="str">
        <x:v>Số bước chia tối đa từ gốc đến lá</x:v>
      </x:c>
      <x:c r="C32" s="14" t="str">
        <x:v>Độ sâu 3: tối đa 7 nút chia và 8 lá mỗi cây.</x:v>
      </x:c>
      <x:c r="D32" s="14" t="str">
        <x:v>32 cây có tối đa 224 nút chia và 256 lá; thực tế có thể ít hơn.</x:v>
      </x:c>
    </x:row>
    <x:row r="33" ht="66" customHeight="1">
      <x:c r="A33" s="15" t="str">
        <x:v>Chuẩn hóa</x:v>
      </x:c>
      <x:c r="B33" s="15" t="str">
        <x:v>z = (x − mean_train) / scale_train</x:v>
      </x:c>
      <x:c r="C33" s="15" t="str">
        <x:v>Fit mean/scale trên train rồi giữ cố định.</x:v>
      </x:c>
      <x:c r="D33" s="15" t="str">
        <x:v>Giúp các đầu vào có thang đo khác nhau không chi phối khoảng cách RBF.</x:v>
      </x:c>
    </x:row>
    <x:row r="34" ht="66" customHeight="1">
      <x:c r="A34" s="14" t="str">
        <x:v>Floating-point / fixed-point</x:v>
      </x:c>
      <x:c r="B34" s="14" t="str">
        <x:v>Floating-point dùng số thực dấu phẩy động; fixed-point dùng vị trí phần lẻ cố định.</x:v>
      </x:c>
      <x:c r="C34" s="14" t="str">
        <x:v>Log hiện tại là kết quả floating-point.</x:v>
      </x:c>
      <x:c r="D34" s="14" t="str">
        <x:v>Cần đo lại sai số sau lượng tử hóa và kiểm chứng bit-exact trước khi kết luận về RTL.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63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5" hidden="0" customWidth="1"/>
    <x:col min="8" max="8" width="12" hidden="0" customWidth="1"/>
    <x:col min="9" max="9" width="5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CÁC CẤU HÌNH ĐÃ THỬ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Chỉ ghi các dòng được in trong log, không nội suy epoch còn thiếu. “Checkpoint chọn” là kết quả riêng được log xác nhận.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Mô hình</x:v>
      </x:c>
      <x:c r="B5" s="7" t="str">
        <x:v>alpha</x:v>
      </x:c>
      <x:c r="C5" s="7" t="str">
        <x:v>gamma</x:v>
      </x:c>
      <x:c r="D5" s="7" t="str">
        <x:v>learning_rate</x:v>
      </x:c>
      <x:c r="E5" s="7" t="str">
        <x:v>Epoch</x:v>
      </x:c>
      <x:c r="F5" s="7" t="str">
        <x:v>MAE val (°C)</x:v>
      </x:c>
      <x:c r="G5" s="7" t="str">
        <x:v>Trạng thái</x:v>
      </x:c>
      <x:c r="H5" s="7" t="str">
        <x:v>Nguồn</x:v>
      </x:c>
      <x:c r="I5" s="7" t="str">
        <x:v>Ghi chú</x:v>
      </x:c>
    </x:row>
    <x:row r="6" ht="24" customHeight="1">
      <x:c r="A6" s="8" t="str">
        <x:v>Ridge</x:v>
      </x:c>
      <x:c r="B6" s="27" t="n">
        <x:v>0.01</x:v>
      </x:c>
      <x:c r="C6" s="27"/>
      <x:c r="D6" s="27"/>
      <x:c r="E6" s="29"/>
      <x:c r="F6" s="9" t="n">
        <x:v>0.487278</x:v>
      </x:c>
      <x:c r="G6" s="8" t="str">
        <x:v>Ứng viên</x:v>
      </x:c>
      <x:c r="H6" s="8" t="str">
        <x:v>Log 2</x:v>
      </x:c>
      <x:c r="I6" s="8" t="str">
        <x:v>MAE đã làm tròn 6 số</x:v>
      </x:c>
    </x:row>
    <x:row r="7" ht="24" customHeight="1">
      <x:c r="A7" s="2" t="str">
        <x:v>Ridge</x:v>
      </x:c>
      <x:c r="B7" s="28" t="n">
        <x:v>0.1</x:v>
      </x:c>
      <x:c r="C7" s="28"/>
      <x:c r="D7" s="28"/>
      <x:c r="E7" s="30"/>
      <x:c r="F7" s="10" t="n">
        <x:v>0.487278</x:v>
      </x:c>
      <x:c r="G7" s="2" t="str">
        <x:v>Ứng viên</x:v>
      </x:c>
      <x:c r="H7" s="2" t="str">
        <x:v>Log 2</x:v>
      </x:c>
      <x:c r="I7" s="2" t="str">
        <x:v>MAE đã làm tròn 6 số</x:v>
      </x:c>
    </x:row>
    <x:row r="8" ht="24" customHeight="1">
      <x:c r="A8" s="8" t="str">
        <x:v>Ridge</x:v>
      </x:c>
      <x:c r="B8" s="27" t="n">
        <x:v>1</x:v>
      </x:c>
      <x:c r="C8" s="27"/>
      <x:c r="D8" s="27"/>
      <x:c r="E8" s="29"/>
      <x:c r="F8" s="9" t="n">
        <x:v>0.487277</x:v>
      </x:c>
      <x:c r="G8" s="8" t="str">
        <x:v>Ứng viên</x:v>
      </x:c>
      <x:c r="H8" s="8" t="str">
        <x:v>Log 2</x:v>
      </x:c>
      <x:c r="I8" s="8" t="str">
        <x:v>MAE đã làm tròn 6 số</x:v>
      </x:c>
    </x:row>
    <x:row r="9" ht="24" customHeight="1">
      <x:c r="A9" s="2" t="str">
        <x:v>Ridge</x:v>
      </x:c>
      <x:c r="B9" s="28" t="n">
        <x:v>10</x:v>
      </x:c>
      <x:c r="C9" s="28"/>
      <x:c r="D9" s="28"/>
      <x:c r="E9" s="30"/>
      <x:c r="F9" s="10" t="n">
        <x:v>0.487265</x:v>
      </x:c>
      <x:c r="G9" s="2" t="str">
        <x:v>Ứng viên</x:v>
      </x:c>
      <x:c r="H9" s="2" t="str">
        <x:v>Log 2</x:v>
      </x:c>
      <x:c r="I9" s="2" t="str">
        <x:v>MAE đã làm tròn 6 số</x:v>
      </x:c>
    </x:row>
    <x:row r="10" ht="24" customHeight="1">
      <x:c r="A10" s="8" t="str">
        <x:v>Ridge</x:v>
      </x:c>
      <x:c r="B10" s="27" t="n">
        <x:v>100</x:v>
      </x:c>
      <x:c r="C10" s="27"/>
      <x:c r="D10" s="27"/>
      <x:c r="E10" s="29"/>
      <x:c r="F10" s="9" t="n">
        <x:v>0.487237</x:v>
      </x:c>
      <x:c r="G10" s="8" t="str">
        <x:v>Được chọn</x:v>
      </x:c>
      <x:c r="H10" s="8" t="str">
        <x:v>Log 2</x:v>
      </x:c>
      <x:c r="I10" s="8" t="str">
        <x:v>MAE đã làm tròn 6 số</x:v>
      </x:c>
    </x:row>
    <x:row r="11" ht="24" customHeight="1">
      <x:c r="A11" s="2" t="str">
        <x:v>Ridge</x:v>
      </x:c>
      <x:c r="B11" s="28" t="n">
        <x:v>1000</x:v>
      </x:c>
      <x:c r="C11" s="28"/>
      <x:c r="D11" s="28"/>
      <x:c r="E11" s="30"/>
      <x:c r="F11" s="10" t="n">
        <x:v>0.489436</x:v>
      </x:c>
      <x:c r="G11" s="2" t="str">
        <x:v>Ứng viên</x:v>
      </x:c>
      <x:c r="H11" s="2" t="str">
        <x:v>Log 2</x:v>
      </x:c>
      <x:c r="I11" s="2" t="str">
        <x:v>MAE đã làm tròn 6 số</x:v>
      </x:c>
    </x:row>
    <x:row r="12" ht="24" customHeight="1">
      <x:c r="A12" s="8" t="str">
        <x:v>MLP</x:v>
      </x:c>
      <x:c r="B12" s="27" t="n">
        <x:v>0.001</x:v>
      </x:c>
      <x:c r="C12" s="27"/>
      <x:c r="D12" s="27"/>
      <x:c r="E12" s="29" t="n">
        <x:v>1</x:v>
      </x:c>
      <x:c r="F12" s="9" t="n">
        <x:v>0.567258</x:v>
      </x:c>
      <x:c r="G12" s="8" t="str">
        <x:v>Epoch được in</x:v>
      </x:c>
      <x:c r="H12" s="8" t="str">
        <x:v>Log 3</x:v>
      </x:c>
      <x:c r="I12" s="8" t="str">
        <x:v>Không phải toàn bộ history</x:v>
      </x:c>
    </x:row>
    <x:row r="13" ht="24" customHeight="1">
      <x:c r="A13" s="2" t="str">
        <x:v>MLP</x:v>
      </x:c>
      <x:c r="B13" s="28" t="n">
        <x:v>0.001</x:v>
      </x:c>
      <x:c r="C13" s="28"/>
      <x:c r="D13" s="28"/>
      <x:c r="E13" s="30" t="n">
        <x:v>25</x:v>
      </x:c>
      <x:c r="F13" s="10" t="n">
        <x:v>0.413834</x:v>
      </x:c>
      <x:c r="G13" s="2" t="str">
        <x:v>Epoch được in</x:v>
      </x:c>
      <x:c r="H13" s="2" t="str">
        <x:v>Log 3</x:v>
      </x:c>
      <x:c r="I13" s="2" t="str">
        <x:v>Không phải toàn bộ history</x:v>
      </x:c>
    </x:row>
    <x:row r="14" ht="24" customHeight="1">
      <x:c r="A14" s="8" t="str">
        <x:v>MLP</x:v>
      </x:c>
      <x:c r="B14" s="27" t="n">
        <x:v>0.001</x:v>
      </x:c>
      <x:c r="C14" s="27"/>
      <x:c r="D14" s="27"/>
      <x:c r="E14" s="29" t="n">
        <x:v>50</x:v>
      </x:c>
      <x:c r="F14" s="9" t="n">
        <x:v>0.391091</x:v>
      </x:c>
      <x:c r="G14" s="8" t="str">
        <x:v>Epoch được in</x:v>
      </x:c>
      <x:c r="H14" s="8" t="str">
        <x:v>Log 3</x:v>
      </x:c>
      <x:c r="I14" s="8" t="str">
        <x:v>Không phải toàn bộ history</x:v>
      </x:c>
    </x:row>
    <x:row r="15" ht="24" customHeight="1">
      <x:c r="A15" s="2" t="str">
        <x:v>MLP</x:v>
      </x:c>
      <x:c r="B15" s="28" t="n">
        <x:v>0.001</x:v>
      </x:c>
      <x:c r="C15" s="28"/>
      <x:c r="D15" s="28"/>
      <x:c r="E15" s="30" t="n">
        <x:v>75</x:v>
      </x:c>
      <x:c r="F15" s="10" t="n">
        <x:v>0.382297</x:v>
      </x:c>
      <x:c r="G15" s="2" t="str">
        <x:v>Epoch được in</x:v>
      </x:c>
      <x:c r="H15" s="2" t="str">
        <x:v>Log 3</x:v>
      </x:c>
      <x:c r="I15" s="2" t="str">
        <x:v>Không phải toàn bộ history</x:v>
      </x:c>
    </x:row>
    <x:row r="16" ht="24" customHeight="1">
      <x:c r="A16" s="8" t="str">
        <x:v>MLP</x:v>
      </x:c>
      <x:c r="B16" s="27" t="n">
        <x:v>0.001</x:v>
      </x:c>
      <x:c r="C16" s="27"/>
      <x:c r="D16" s="27"/>
      <x:c r="E16" s="29" t="n">
        <x:v>100</x:v>
      </x:c>
      <x:c r="F16" s="9" t="n">
        <x:v>0.377756</x:v>
      </x:c>
      <x:c r="G16" s="8" t="str">
        <x:v>Epoch được in</x:v>
      </x:c>
      <x:c r="H16" s="8" t="str">
        <x:v>Log 3</x:v>
      </x:c>
      <x:c r="I16" s="8" t="str">
        <x:v>Không phải toàn bộ history</x:v>
      </x:c>
    </x:row>
    <x:row r="17" ht="24" customHeight="1">
      <x:c r="A17" s="2" t="str">
        <x:v>MLP</x:v>
      </x:c>
      <x:c r="B17" s="28" t="n">
        <x:v>0.001</x:v>
      </x:c>
      <x:c r="C17" s="28"/>
      <x:c r="D17" s="28"/>
      <x:c r="E17" s="30" t="n">
        <x:v>125</x:v>
      </x:c>
      <x:c r="F17" s="10" t="n">
        <x:v>0.375022</x:v>
      </x:c>
      <x:c r="G17" s="2" t="str">
        <x:v>Epoch được in</x:v>
      </x:c>
      <x:c r="H17" s="2" t="str">
        <x:v>Log 3</x:v>
      </x:c>
      <x:c r="I17" s="2" t="str">
        <x:v>Không phải toàn bộ history</x:v>
      </x:c>
    </x:row>
    <x:row r="18" ht="24" customHeight="1">
      <x:c r="A18" s="8" t="str">
        <x:v>MLP</x:v>
      </x:c>
      <x:c r="B18" s="27" t="n">
        <x:v>0.001</x:v>
      </x:c>
      <x:c r="C18" s="27"/>
      <x:c r="D18" s="27"/>
      <x:c r="E18" s="29" t="n">
        <x:v>150</x:v>
      </x:c>
      <x:c r="F18" s="9" t="n">
        <x:v>0.372329</x:v>
      </x:c>
      <x:c r="G18" s="8" t="str">
        <x:v>Epoch được in</x:v>
      </x:c>
      <x:c r="H18" s="8" t="str">
        <x:v>Log 3</x:v>
      </x:c>
      <x:c r="I18" s="8" t="str">
        <x:v>Không phải toàn bộ history</x:v>
      </x:c>
    </x:row>
    <x:row r="19" ht="24" customHeight="1">
      <x:c r="A19" s="2" t="str">
        <x:v>MLP</x:v>
      </x:c>
      <x:c r="B19" s="28" t="n">
        <x:v>0.001</x:v>
      </x:c>
      <x:c r="C19" s="28"/>
      <x:c r="D19" s="28"/>
      <x:c r="E19" s="30" t="n">
        <x:v>175</x:v>
      </x:c>
      <x:c r="F19" s="10" t="n">
        <x:v>0.370724</x:v>
      </x:c>
      <x:c r="G19" s="2" t="str">
        <x:v>Epoch được in</x:v>
      </x:c>
      <x:c r="H19" s="2" t="str">
        <x:v>Log 3</x:v>
      </x:c>
      <x:c r="I19" s="2" t="str">
        <x:v>Không phải toàn bộ history</x:v>
      </x:c>
    </x:row>
    <x:row r="20" ht="24" customHeight="1">
      <x:c r="A20" s="8" t="str">
        <x:v>MLP</x:v>
      </x:c>
      <x:c r="B20" s="27" t="n">
        <x:v>0.001</x:v>
      </x:c>
      <x:c r="C20" s="27"/>
      <x:c r="D20" s="27"/>
      <x:c r="E20" s="29" t="n">
        <x:v>200</x:v>
      </x:c>
      <x:c r="F20" s="9" t="n">
        <x:v>0.369863</x:v>
      </x:c>
      <x:c r="G20" s="8" t="str">
        <x:v>Epoch được in</x:v>
      </x:c>
      <x:c r="H20" s="8" t="str">
        <x:v>Log 3</x:v>
      </x:c>
      <x:c r="I20" s="8" t="str">
        <x:v>Không phải toàn bộ history</x:v>
      </x:c>
    </x:row>
    <x:row r="21" ht="24" customHeight="1">
      <x:c r="A21" s="2" t="str">
        <x:v>MLP</x:v>
      </x:c>
      <x:c r="B21" s="28" t="n">
        <x:v>0.001</x:v>
      </x:c>
      <x:c r="C21" s="28"/>
      <x:c r="D21" s="28"/>
      <x:c r="E21" s="30" t="n">
        <x:v>225</x:v>
      </x:c>
      <x:c r="F21" s="10" t="n">
        <x:v>0.368877</x:v>
      </x:c>
      <x:c r="G21" s="2" t="str">
        <x:v>Epoch được in</x:v>
      </x:c>
      <x:c r="H21" s="2" t="str">
        <x:v>Log 3</x:v>
      </x:c>
      <x:c r="I21" s="2" t="str">
        <x:v>Không phải toàn bộ history</x:v>
      </x:c>
    </x:row>
    <x:row r="22" ht="24" customHeight="1">
      <x:c r="A22" s="8" t="str">
        <x:v>MLP</x:v>
      </x:c>
      <x:c r="B22" s="27" t="n">
        <x:v>0.001</x:v>
      </x:c>
      <x:c r="C22" s="27"/>
      <x:c r="D22" s="27"/>
      <x:c r="E22" s="29" t="n">
        <x:v>250</x:v>
      </x:c>
      <x:c r="F22" s="9" t="n">
        <x:v>0.368611</x:v>
      </x:c>
      <x:c r="G22" s="8" t="str">
        <x:v>Epoch được in</x:v>
      </x:c>
      <x:c r="H22" s="8" t="str">
        <x:v>Log 3</x:v>
      </x:c>
      <x:c r="I22" s="8" t="str">
        <x:v>Không phải toàn bộ history</x:v>
      </x:c>
    </x:row>
    <x:row r="23" ht="24" customHeight="1">
      <x:c r="A23" s="2" t="str">
        <x:v>MLP</x:v>
      </x:c>
      <x:c r="B23" s="28" t="n">
        <x:v>0.1</x:v>
      </x:c>
      <x:c r="C23" s="28"/>
      <x:c r="D23" s="28"/>
      <x:c r="E23" s="30" t="n">
        <x:v>1</x:v>
      </x:c>
      <x:c r="F23" s="10" t="n">
        <x:v>0.567228</x:v>
      </x:c>
      <x:c r="G23" s="2" t="str">
        <x:v>Epoch được in</x:v>
      </x:c>
      <x:c r="H23" s="2" t="str">
        <x:v>Log 3</x:v>
      </x:c>
      <x:c r="I23" s="2" t="str">
        <x:v>Không phải toàn bộ history</x:v>
      </x:c>
    </x:row>
    <x:row r="24" ht="24" customHeight="1">
      <x:c r="A24" s="8" t="str">
        <x:v>MLP</x:v>
      </x:c>
      <x:c r="B24" s="27" t="n">
        <x:v>0.1</x:v>
      </x:c>
      <x:c r="C24" s="27"/>
      <x:c r="D24" s="27"/>
      <x:c r="E24" s="29" t="n">
        <x:v>25</x:v>
      </x:c>
      <x:c r="F24" s="9" t="n">
        <x:v>0.414459</x:v>
      </x:c>
      <x:c r="G24" s="8" t="str">
        <x:v>Epoch được in</x:v>
      </x:c>
      <x:c r="H24" s="8" t="str">
        <x:v>Log 3</x:v>
      </x:c>
      <x:c r="I24" s="8" t="str">
        <x:v>Không phải toàn bộ history</x:v>
      </x:c>
    </x:row>
    <x:row r="25" ht="24" customHeight="1">
      <x:c r="A25" s="2" t="str">
        <x:v>MLP</x:v>
      </x:c>
      <x:c r="B25" s="28" t="n">
        <x:v>0.1</x:v>
      </x:c>
      <x:c r="C25" s="28"/>
      <x:c r="D25" s="28"/>
      <x:c r="E25" s="30" t="n">
        <x:v>50</x:v>
      </x:c>
      <x:c r="F25" s="10" t="n">
        <x:v>0.391151</x:v>
      </x:c>
      <x:c r="G25" s="2" t="str">
        <x:v>Epoch được in</x:v>
      </x:c>
      <x:c r="H25" s="2" t="str">
        <x:v>Log 3</x:v>
      </x:c>
      <x:c r="I25" s="2" t="str">
        <x:v>Không phải toàn bộ history</x:v>
      </x:c>
    </x:row>
    <x:row r="26" ht="24" customHeight="1">
      <x:c r="A26" s="8" t="str">
        <x:v>MLP</x:v>
      </x:c>
      <x:c r="B26" s="27" t="n">
        <x:v>0.1</x:v>
      </x:c>
      <x:c r="C26" s="27"/>
      <x:c r="D26" s="27"/>
      <x:c r="E26" s="29" t="n">
        <x:v>75</x:v>
      </x:c>
      <x:c r="F26" s="9" t="n">
        <x:v>0.381813</x:v>
      </x:c>
      <x:c r="G26" s="8" t="str">
        <x:v>Epoch được in</x:v>
      </x:c>
      <x:c r="H26" s="8" t="str">
        <x:v>Log 3</x:v>
      </x:c>
      <x:c r="I26" s="8" t="str">
        <x:v>Không phải toàn bộ history</x:v>
      </x:c>
    </x:row>
    <x:row r="27" ht="24" customHeight="1">
      <x:c r="A27" s="2" t="str">
        <x:v>MLP</x:v>
      </x:c>
      <x:c r="B27" s="28" t="n">
        <x:v>0.1</x:v>
      </x:c>
      <x:c r="C27" s="28"/>
      <x:c r="D27" s="28"/>
      <x:c r="E27" s="30" t="n">
        <x:v>100</x:v>
      </x:c>
      <x:c r="F27" s="10" t="n">
        <x:v>0.377269</x:v>
      </x:c>
      <x:c r="G27" s="2" t="str">
        <x:v>Epoch được in</x:v>
      </x:c>
      <x:c r="H27" s="2" t="str">
        <x:v>Log 3</x:v>
      </x:c>
      <x:c r="I27" s="2" t="str">
        <x:v>Không phải toàn bộ history</x:v>
      </x:c>
    </x:row>
    <x:row r="28" ht="24" customHeight="1">
      <x:c r="A28" s="8" t="str">
        <x:v>MLP</x:v>
      </x:c>
      <x:c r="B28" s="27" t="n">
        <x:v>0.1</x:v>
      </x:c>
      <x:c r="C28" s="27"/>
      <x:c r="D28" s="27"/>
      <x:c r="E28" s="29" t="n">
        <x:v>125</x:v>
      </x:c>
      <x:c r="F28" s="9" t="n">
        <x:v>0.374605</x:v>
      </x:c>
      <x:c r="G28" s="8" t="str">
        <x:v>Epoch được in</x:v>
      </x:c>
      <x:c r="H28" s="8" t="str">
        <x:v>Log 3</x:v>
      </x:c>
      <x:c r="I28" s="8" t="str">
        <x:v>Không phải toàn bộ history</x:v>
      </x:c>
    </x:row>
    <x:row r="29" ht="24" customHeight="1">
      <x:c r="A29" s="2" t="str">
        <x:v>MLP</x:v>
      </x:c>
      <x:c r="B29" s="28" t="n">
        <x:v>0.1</x:v>
      </x:c>
      <x:c r="C29" s="28"/>
      <x:c r="D29" s="28"/>
      <x:c r="E29" s="30" t="n">
        <x:v>150</x:v>
      </x:c>
      <x:c r="F29" s="10" t="n">
        <x:v>0.373282</x:v>
      </x:c>
      <x:c r="G29" s="2" t="str">
        <x:v>Epoch được in</x:v>
      </x:c>
      <x:c r="H29" s="2" t="str">
        <x:v>Log 3</x:v>
      </x:c>
      <x:c r="I29" s="2" t="str">
        <x:v>Không phải toàn bộ history</x:v>
      </x:c>
    </x:row>
    <x:row r="30" ht="24" customHeight="1">
      <x:c r="A30" s="8" t="str">
        <x:v>MLP</x:v>
      </x:c>
      <x:c r="B30" s="27" t="n">
        <x:v>0.1</x:v>
      </x:c>
      <x:c r="C30" s="27"/>
      <x:c r="D30" s="27"/>
      <x:c r="E30" s="29" t="n">
        <x:v>175</x:v>
      </x:c>
      <x:c r="F30" s="9" t="n">
        <x:v>0.372591</x:v>
      </x:c>
      <x:c r="G30" s="8" t="str">
        <x:v>Epoch được in</x:v>
      </x:c>
      <x:c r="H30" s="8" t="str">
        <x:v>Log 3</x:v>
      </x:c>
      <x:c r="I30" s="8" t="str">
        <x:v>Không phải toàn bộ history</x:v>
      </x:c>
    </x:row>
    <x:row r="31" ht="24" customHeight="1">
      <x:c r="A31" s="2" t="str">
        <x:v>MLP</x:v>
      </x:c>
      <x:c r="B31" s="28" t="n">
        <x:v>0.1</x:v>
      </x:c>
      <x:c r="C31" s="28"/>
      <x:c r="D31" s="28"/>
      <x:c r="E31" s="30" t="n">
        <x:v>200</x:v>
      </x:c>
      <x:c r="F31" s="10" t="n">
        <x:v>0.371766</x:v>
      </x:c>
      <x:c r="G31" s="2" t="str">
        <x:v>Epoch được in</x:v>
      </x:c>
      <x:c r="H31" s="2" t="str">
        <x:v>Log 3</x:v>
      </x:c>
      <x:c r="I31" s="2" t="str">
        <x:v>Không phải toàn bộ history</x:v>
      </x:c>
    </x:row>
    <x:row r="32" ht="24" customHeight="1">
      <x:c r="A32" s="8" t="str">
        <x:v>MLP</x:v>
      </x:c>
      <x:c r="B32" s="27" t="n">
        <x:v>0.1</x:v>
      </x:c>
      <x:c r="C32" s="27"/>
      <x:c r="D32" s="27"/>
      <x:c r="E32" s="29" t="n">
        <x:v>225</x:v>
      </x:c>
      <x:c r="F32" s="9" t="n">
        <x:v>0.370909</x:v>
      </x:c>
      <x:c r="G32" s="8" t="str">
        <x:v>Epoch được in</x:v>
      </x:c>
      <x:c r="H32" s="8" t="str">
        <x:v>Log 3</x:v>
      </x:c>
      <x:c r="I32" s="8" t="str">
        <x:v>Không phải toàn bộ history</x:v>
      </x:c>
    </x:row>
    <x:row r="33" ht="24" customHeight="1">
      <x:c r="A33" s="2" t="str">
        <x:v>MLP</x:v>
      </x:c>
      <x:c r="B33" s="28" t="n">
        <x:v>0.1</x:v>
      </x:c>
      <x:c r="C33" s="28"/>
      <x:c r="D33" s="28"/>
      <x:c r="E33" s="30" t="n">
        <x:v>250</x:v>
      </x:c>
      <x:c r="F33" s="10" t="n">
        <x:v>0.370543</x:v>
      </x:c>
      <x:c r="G33" s="2" t="str">
        <x:v>Epoch được in</x:v>
      </x:c>
      <x:c r="H33" s="2" t="str">
        <x:v>Log 3</x:v>
      </x:c>
      <x:c r="I33" s="2" t="str">
        <x:v>Không phải toàn bộ history</x:v>
      </x:c>
    </x:row>
    <x:row r="34" ht="24" customHeight="1">
      <x:c r="A34" s="8" t="str">
        <x:v>MLP</x:v>
      </x:c>
      <x:c r="B34" s="27" t="n">
        <x:v>0.001</x:v>
      </x:c>
      <x:c r="C34" s="27"/>
      <x:c r="D34" s="27"/>
      <x:c r="E34" s="29" t="n">
        <x:v>247</x:v>
      </x:c>
      <x:c r="F34" s="9" t="n">
        <x:v>0.368587</x:v>
      </x:c>
      <x:c r="G34" s="8" t="str">
        <x:v>Checkpoint chọn</x:v>
      </x:c>
      <x:c r="H34" s="8" t="str">
        <x:v>Log 3</x:v>
      </x:c>
      <x:c r="I34" s="8" t="str">
        <x:v>Có thể không nằm trong các mốc in định kỳ</x:v>
      </x:c>
    </x:row>
    <x:row r="35" ht="24" customHeight="1">
      <x:c r="A35" s="2" t="str">
        <x:v>RBF</x:v>
      </x:c>
      <x:c r="B35" s="28" t="n">
        <x:v>0.01</x:v>
      </x:c>
      <x:c r="C35" s="28" t="n">
        <x:v>0.01</x:v>
      </x:c>
      <x:c r="D35" s="28"/>
      <x:c r="E35" s="30"/>
      <x:c r="F35" s="10" t="n">
        <x:v>0.486782</x:v>
      </x:c>
      <x:c r="G35" s="2" t="str">
        <x:v>Được chọn</x:v>
      </x:c>
      <x:c r="H35" s="2" t="str">
        <x:v>Log 4</x:v>
      </x:c>
      <x:c r="I35" s="2" t="str">
        <x:v>16 tâm, 12 đầu vào</x:v>
      </x:c>
    </x:row>
    <x:row r="36" ht="24" customHeight="1">
      <x:c r="A36" s="8" t="str">
        <x:v>RBF</x:v>
      </x:c>
      <x:c r="B36" s="27" t="n">
        <x:v>0.1</x:v>
      </x:c>
      <x:c r="C36" s="27" t="n">
        <x:v>0.01</x:v>
      </x:c>
      <x:c r="D36" s="27"/>
      <x:c r="E36" s="29"/>
      <x:c r="F36" s="9" t="n">
        <x:v>0.489706</x:v>
      </x:c>
      <x:c r="G36" s="8" t="str">
        <x:v>Ứng viên</x:v>
      </x:c>
      <x:c r="H36" s="8" t="str">
        <x:v>Log 4</x:v>
      </x:c>
      <x:c r="I36" s="8" t="str">
        <x:v>16 tâm, 12 đầu vào</x:v>
      </x:c>
    </x:row>
    <x:row r="37" ht="24" customHeight="1">
      <x:c r="A37" s="2" t="str">
        <x:v>RBF</x:v>
      </x:c>
      <x:c r="B37" s="28" t="n">
        <x:v>1</x:v>
      </x:c>
      <x:c r="C37" s="28" t="n">
        <x:v>0.01</x:v>
      </x:c>
      <x:c r="D37" s="28"/>
      <x:c r="E37" s="30"/>
      <x:c r="F37" s="10" t="n">
        <x:v>0.498576</x:v>
      </x:c>
      <x:c r="G37" s="2" t="str">
        <x:v>Ứng viên</x:v>
      </x:c>
      <x:c r="H37" s="2" t="str">
        <x:v>Log 4</x:v>
      </x:c>
      <x:c r="I37" s="2" t="str">
        <x:v>16 tâm, 12 đầu vào</x:v>
      </x:c>
    </x:row>
    <x:row r="38" ht="24" customHeight="1">
      <x:c r="A38" s="8" t="str">
        <x:v>RBF</x:v>
      </x:c>
      <x:c r="B38" s="27" t="n">
        <x:v>10</x:v>
      </x:c>
      <x:c r="C38" s="27" t="n">
        <x:v>0.01</x:v>
      </x:c>
      <x:c r="D38" s="27"/>
      <x:c r="E38" s="29"/>
      <x:c r="F38" s="9" t="n">
        <x:v>0.523383</x:v>
      </x:c>
      <x:c r="G38" s="8" t="str">
        <x:v>Ứng viên</x:v>
      </x:c>
      <x:c r="H38" s="8" t="str">
        <x:v>Log 4</x:v>
      </x:c>
      <x:c r="I38" s="8" t="str">
        <x:v>16 tâm, 12 đầu vào</x:v>
      </x:c>
    </x:row>
    <x:row r="39" ht="24" customHeight="1">
      <x:c r="A39" s="2" t="str">
        <x:v>RBF</x:v>
      </x:c>
      <x:c r="B39" s="28" t="n">
        <x:v>100</x:v>
      </x:c>
      <x:c r="C39" s="28" t="n">
        <x:v>0.01</x:v>
      </x:c>
      <x:c r="D39" s="28"/>
      <x:c r="E39" s="30"/>
      <x:c r="F39" s="10" t="n">
        <x:v>0.661109</x:v>
      </x:c>
      <x:c r="G39" s="2" t="str">
        <x:v>Ứng viên</x:v>
      </x:c>
      <x:c r="H39" s="2" t="str">
        <x:v>Log 4</x:v>
      </x:c>
      <x:c r="I39" s="2" t="str">
        <x:v>16 tâm, 12 đầu vào</x:v>
      </x:c>
    </x:row>
    <x:row r="40" ht="24" customHeight="1">
      <x:c r="A40" s="8" t="str">
        <x:v>RBF</x:v>
      </x:c>
      <x:c r="B40" s="27" t="n">
        <x:v>1000</x:v>
      </x:c>
      <x:c r="C40" s="27" t="n">
        <x:v>0.01</x:v>
      </x:c>
      <x:c r="D40" s="27"/>
      <x:c r="E40" s="29"/>
      <x:c r="F40" s="9" t="n">
        <x:v>0.744944</x:v>
      </x:c>
      <x:c r="G40" s="8" t="str">
        <x:v>Ứng viên</x:v>
      </x:c>
      <x:c r="H40" s="8" t="str">
        <x:v>Log 4</x:v>
      </x:c>
      <x:c r="I40" s="8" t="str">
        <x:v>16 tâm, 12 đầu vào</x:v>
      </x:c>
    </x:row>
    <x:row r="41" ht="24" customHeight="1">
      <x:c r="A41" s="2" t="str">
        <x:v>RBF</x:v>
      </x:c>
      <x:c r="B41" s="28" t="n">
        <x:v>0.01</x:v>
      </x:c>
      <x:c r="C41" s="28" t="n">
        <x:v>0.03</x:v>
      </x:c>
      <x:c r="D41" s="28"/>
      <x:c r="E41" s="30"/>
      <x:c r="F41" s="10" t="n">
        <x:v>0.514742</x:v>
      </x:c>
      <x:c r="G41" s="2" t="str">
        <x:v>Ứng viên</x:v>
      </x:c>
      <x:c r="H41" s="2" t="str">
        <x:v>Log 4</x:v>
      </x:c>
      <x:c r="I41" s="2" t="str">
        <x:v>16 tâm, 12 đầu vào</x:v>
      </x:c>
    </x:row>
    <x:row r="42" ht="24" customHeight="1">
      <x:c r="A42" s="8" t="str">
        <x:v>RBF</x:v>
      </x:c>
      <x:c r="B42" s="27" t="n">
        <x:v>0.1</x:v>
      </x:c>
      <x:c r="C42" s="27" t="n">
        <x:v>0.03</x:v>
      </x:c>
      <x:c r="D42" s="27"/>
      <x:c r="E42" s="29"/>
      <x:c r="F42" s="9" t="n">
        <x:v>0.514033</x:v>
      </x:c>
      <x:c r="G42" s="8" t="str">
        <x:v>Ứng viên</x:v>
      </x:c>
      <x:c r="H42" s="8" t="str">
        <x:v>Log 4</x:v>
      </x:c>
      <x:c r="I42" s="8" t="str">
        <x:v>16 tâm, 12 đầu vào</x:v>
      </x:c>
    </x:row>
    <x:row r="43" ht="24" customHeight="1">
      <x:c r="A43" s="2" t="str">
        <x:v>RBF</x:v>
      </x:c>
      <x:c r="B43" s="28" t="n">
        <x:v>1</x:v>
      </x:c>
      <x:c r="C43" s="28" t="n">
        <x:v>0.03</x:v>
      </x:c>
      <x:c r="D43" s="28"/>
      <x:c r="E43" s="30"/>
      <x:c r="F43" s="10" t="n">
        <x:v>0.511636</x:v>
      </x:c>
      <x:c r="G43" s="2" t="str">
        <x:v>Ứng viên</x:v>
      </x:c>
      <x:c r="H43" s="2" t="str">
        <x:v>Log 4</x:v>
      </x:c>
      <x:c r="I43" s="2" t="str">
        <x:v>16 tâm, 12 đầu vào</x:v>
      </x:c>
    </x:row>
    <x:row r="44" ht="24" customHeight="1">
      <x:c r="A44" s="8" t="str">
        <x:v>RBF</x:v>
      </x:c>
      <x:c r="B44" s="27" t="n">
        <x:v>10</x:v>
      </x:c>
      <x:c r="C44" s="27" t="n">
        <x:v>0.03</x:v>
      </x:c>
      <x:c r="D44" s="27"/>
      <x:c r="E44" s="29"/>
      <x:c r="F44" s="9" t="n">
        <x:v>0.51973</x:v>
      </x:c>
      <x:c r="G44" s="8" t="str">
        <x:v>Ứng viên</x:v>
      </x:c>
      <x:c r="H44" s="8" t="str">
        <x:v>Log 4</x:v>
      </x:c>
      <x:c r="I44" s="8" t="str">
        <x:v>16 tâm, 12 đầu vào</x:v>
      </x:c>
    </x:row>
    <x:row r="45" ht="24" customHeight="1">
      <x:c r="A45" s="2" t="str">
        <x:v>RBF</x:v>
      </x:c>
      <x:c r="B45" s="28" t="n">
        <x:v>100</x:v>
      </x:c>
      <x:c r="C45" s="28" t="n">
        <x:v>0.03</x:v>
      </x:c>
      <x:c r="D45" s="28"/>
      <x:c r="E45" s="30"/>
      <x:c r="F45" s="10" t="n">
        <x:v>0.56919</x:v>
      </x:c>
      <x:c r="G45" s="2" t="str">
        <x:v>Ứng viên</x:v>
      </x:c>
      <x:c r="H45" s="2" t="str">
        <x:v>Log 4</x:v>
      </x:c>
      <x:c r="I45" s="2" t="str">
        <x:v>16 tâm, 12 đầu vào</x:v>
      </x:c>
    </x:row>
    <x:row r="46" ht="24" customHeight="1">
      <x:c r="A46" s="8" t="str">
        <x:v>RBF</x:v>
      </x:c>
      <x:c r="B46" s="27" t="n">
        <x:v>1000</x:v>
      </x:c>
      <x:c r="C46" s="27" t="n">
        <x:v>0.03</x:v>
      </x:c>
      <x:c r="D46" s="27"/>
      <x:c r="E46" s="29"/>
      <x:c r="F46" s="9" t="n">
        <x:v>0.709439</x:v>
      </x:c>
      <x:c r="G46" s="8" t="str">
        <x:v>Ứng viên</x:v>
      </x:c>
      <x:c r="H46" s="8" t="str">
        <x:v>Log 4</x:v>
      </x:c>
      <x:c r="I46" s="8" t="str">
        <x:v>16 tâm, 12 đầu vào</x:v>
      </x:c>
    </x:row>
    <x:row r="47" ht="24" customHeight="1">
      <x:c r="A47" s="2" t="str">
        <x:v>RBF</x:v>
      </x:c>
      <x:c r="B47" s="28" t="n">
        <x:v>0.01</x:v>
      </x:c>
      <x:c r="C47" s="28" t="n">
        <x:v>0.1</x:v>
      </x:c>
      <x:c r="D47" s="28"/>
      <x:c r="E47" s="30"/>
      <x:c r="F47" s="10" t="n">
        <x:v>0.581301</x:v>
      </x:c>
      <x:c r="G47" s="2" t="str">
        <x:v>Ứng viên</x:v>
      </x:c>
      <x:c r="H47" s="2" t="str">
        <x:v>Log 4</x:v>
      </x:c>
      <x:c r="I47" s="2" t="str">
        <x:v>16 tâm, 12 đầu vào</x:v>
      </x:c>
    </x:row>
    <x:row r="48" ht="24" customHeight="1">
      <x:c r="A48" s="8" t="str">
        <x:v>RBF</x:v>
      </x:c>
      <x:c r="B48" s="27" t="n">
        <x:v>0.1</x:v>
      </x:c>
      <x:c r="C48" s="27" t="n">
        <x:v>0.1</x:v>
      </x:c>
      <x:c r="D48" s="27"/>
      <x:c r="E48" s="29"/>
      <x:c r="F48" s="9" t="n">
        <x:v>0.581258</x:v>
      </x:c>
      <x:c r="G48" s="8" t="str">
        <x:v>Ứng viên</x:v>
      </x:c>
      <x:c r="H48" s="8" t="str">
        <x:v>Log 4</x:v>
      </x:c>
      <x:c r="I48" s="8" t="str">
        <x:v>16 tâm, 12 đầu vào</x:v>
      </x:c>
    </x:row>
    <x:row r="49" ht="24" customHeight="1">
      <x:c r="A49" s="2" t="str">
        <x:v>RBF</x:v>
      </x:c>
      <x:c r="B49" s="28" t="n">
        <x:v>1</x:v>
      </x:c>
      <x:c r="C49" s="28" t="n">
        <x:v>0.1</x:v>
      </x:c>
      <x:c r="D49" s="28"/>
      <x:c r="E49" s="30"/>
      <x:c r="F49" s="10" t="n">
        <x:v>0.580857</x:v>
      </x:c>
      <x:c r="G49" s="2" t="str">
        <x:v>Ứng viên</x:v>
      </x:c>
      <x:c r="H49" s="2" t="str">
        <x:v>Log 4</x:v>
      </x:c>
      <x:c r="I49" s="2" t="str">
        <x:v>16 tâm, 12 đầu vào</x:v>
      </x:c>
    </x:row>
    <x:row r="50" ht="24" customHeight="1">
      <x:c r="A50" s="8" t="str">
        <x:v>RBF</x:v>
      </x:c>
      <x:c r="B50" s="27" t="n">
        <x:v>10</x:v>
      </x:c>
      <x:c r="C50" s="27" t="n">
        <x:v>0.1</x:v>
      </x:c>
      <x:c r="D50" s="27"/>
      <x:c r="E50" s="29"/>
      <x:c r="F50" s="9" t="n">
        <x:v>0.578463</x:v>
      </x:c>
      <x:c r="G50" s="8" t="str">
        <x:v>Ứng viên</x:v>
      </x:c>
      <x:c r="H50" s="8" t="str">
        <x:v>Log 4</x:v>
      </x:c>
      <x:c r="I50" s="8" t="str">
        <x:v>16 tâm, 12 đầu vào</x:v>
      </x:c>
    </x:row>
    <x:row r="51" ht="24" customHeight="1">
      <x:c r="A51" s="2" t="str">
        <x:v>RBF</x:v>
      </x:c>
      <x:c r="B51" s="28" t="n">
        <x:v>100</x:v>
      </x:c>
      <x:c r="C51" s="28" t="n">
        <x:v>0.1</x:v>
      </x:c>
      <x:c r="D51" s="28"/>
      <x:c r="E51" s="30"/>
      <x:c r="F51" s="10" t="n">
        <x:v>0.590084</x:v>
      </x:c>
      <x:c r="G51" s="2" t="str">
        <x:v>Ứng viên</x:v>
      </x:c>
      <x:c r="H51" s="2" t="str">
        <x:v>Log 4</x:v>
      </x:c>
      <x:c r="I51" s="2" t="str">
        <x:v>16 tâm, 12 đầu vào</x:v>
      </x:c>
    </x:row>
    <x:row r="52" ht="24" customHeight="1">
      <x:c r="A52" s="8" t="str">
        <x:v>RBF</x:v>
      </x:c>
      <x:c r="B52" s="27" t="n">
        <x:v>1000</x:v>
      </x:c>
      <x:c r="C52" s="27" t="n">
        <x:v>0.1</x:v>
      </x:c>
      <x:c r="D52" s="27"/>
      <x:c r="E52" s="29"/>
      <x:c r="F52" s="9" t="n">
        <x:v>0.691248</x:v>
      </x:c>
      <x:c r="G52" s="8" t="str">
        <x:v>Ứng viên</x:v>
      </x:c>
      <x:c r="H52" s="8" t="str">
        <x:v>Log 4</x:v>
      </x:c>
      <x:c r="I52" s="8" t="str">
        <x:v>16 tâm, 12 đầu vào</x:v>
      </x:c>
    </x:row>
    <x:row r="53" ht="24" customHeight="1">
      <x:c r="A53" s="2" t="str">
        <x:v>RBF</x:v>
      </x:c>
      <x:c r="B53" s="28" t="n">
        <x:v>0.01</x:v>
      </x:c>
      <x:c r="C53" s="28" t="n">
        <x:v>0.3</x:v>
      </x:c>
      <x:c r="D53" s="28"/>
      <x:c r="E53" s="30"/>
      <x:c r="F53" s="10" t="n">
        <x:v>0.657372</x:v>
      </x:c>
      <x:c r="G53" s="2" t="str">
        <x:v>Ứng viên</x:v>
      </x:c>
      <x:c r="H53" s="2" t="str">
        <x:v>Log 4</x:v>
      </x:c>
      <x:c r="I53" s="2" t="str">
        <x:v>16 tâm, 12 đầu vào</x:v>
      </x:c>
    </x:row>
    <x:row r="54" ht="24" customHeight="1">
      <x:c r="A54" s="8" t="str">
        <x:v>RBF</x:v>
      </x:c>
      <x:c r="B54" s="27" t="n">
        <x:v>0.1</x:v>
      </x:c>
      <x:c r="C54" s="27" t="n">
        <x:v>0.3</x:v>
      </x:c>
      <x:c r="D54" s="27"/>
      <x:c r="E54" s="29"/>
      <x:c r="F54" s="9" t="n">
        <x:v>0.657364</x:v>
      </x:c>
      <x:c r="G54" s="8" t="str">
        <x:v>Ứng viên</x:v>
      </x:c>
      <x:c r="H54" s="8" t="str">
        <x:v>Log 4</x:v>
      </x:c>
      <x:c r="I54" s="8" t="str">
        <x:v>16 tâm, 12 đầu vào</x:v>
      </x:c>
    </x:row>
    <x:row r="55" ht="24" customHeight="1">
      <x:c r="A55" s="2" t="str">
        <x:v>RBF</x:v>
      </x:c>
      <x:c r="B55" s="28" t="n">
        <x:v>1</x:v>
      </x:c>
      <x:c r="C55" s="28" t="n">
        <x:v>0.3</x:v>
      </x:c>
      <x:c r="D55" s="28"/>
      <x:c r="E55" s="30"/>
      <x:c r="F55" s="10" t="n">
        <x:v>0.657278</x:v>
      </x:c>
      <x:c r="G55" s="2" t="str">
        <x:v>Ứng viên</x:v>
      </x:c>
      <x:c r="H55" s="2" t="str">
        <x:v>Log 4</x:v>
      </x:c>
      <x:c r="I55" s="2" t="str">
        <x:v>16 tâm, 12 đầu vào</x:v>
      </x:c>
    </x:row>
    <x:row r="56" ht="24" customHeight="1">
      <x:c r="A56" s="8" t="str">
        <x:v>RBF</x:v>
      </x:c>
      <x:c r="B56" s="27" t="n">
        <x:v>10</x:v>
      </x:c>
      <x:c r="C56" s="27" t="n">
        <x:v>0.3</x:v>
      </x:c>
      <x:c r="D56" s="27"/>
      <x:c r="E56" s="29"/>
      <x:c r="F56" s="9" t="n">
        <x:v>0.656654</x:v>
      </x:c>
      <x:c r="G56" s="8" t="str">
        <x:v>Ứng viên</x:v>
      </x:c>
      <x:c r="H56" s="8" t="str">
        <x:v>Log 4</x:v>
      </x:c>
      <x:c r="I56" s="8" t="str">
        <x:v>16 tâm, 12 đầu vào</x:v>
      </x:c>
    </x:row>
    <x:row r="57" ht="24" customHeight="1">
      <x:c r="A57" s="2" t="str">
        <x:v>RBF</x:v>
      </x:c>
      <x:c r="B57" s="28" t="n">
        <x:v>100</x:v>
      </x:c>
      <x:c r="C57" s="28" t="n">
        <x:v>0.3</x:v>
      </x:c>
      <x:c r="D57" s="28"/>
      <x:c r="E57" s="30"/>
      <x:c r="F57" s="10" t="n">
        <x:v>0.660952</x:v>
      </x:c>
      <x:c r="G57" s="2" t="str">
        <x:v>Ứng viên</x:v>
      </x:c>
      <x:c r="H57" s="2" t="str">
        <x:v>Log 4</x:v>
      </x:c>
      <x:c r="I57" s="2" t="str">
        <x:v>16 tâm, 12 đầu vào</x:v>
      </x:c>
    </x:row>
    <x:row r="58" ht="24" customHeight="1">
      <x:c r="A58" s="8" t="str">
        <x:v>RBF</x:v>
      </x:c>
      <x:c r="B58" s="27" t="n">
        <x:v>1000</x:v>
      </x:c>
      <x:c r="C58" s="27" t="n">
        <x:v>0.3</x:v>
      </x:c>
      <x:c r="D58" s="27"/>
      <x:c r="E58" s="29"/>
      <x:c r="F58" s="9" t="n">
        <x:v>0.719463</x:v>
      </x:c>
      <x:c r="G58" s="8" t="str">
        <x:v>Ứng viên</x:v>
      </x:c>
      <x:c r="H58" s="8" t="str">
        <x:v>Log 4</x:v>
      </x:c>
      <x:c r="I58" s="8" t="str">
        <x:v>16 tâm, 12 đầu vào</x:v>
      </x:c>
    </x:row>
    <x:row r="59" ht="24" customHeight="1">
      <x:c r="A59" s="2" t="str">
        <x:v>RBF</x:v>
      </x:c>
      <x:c r="B59" s="28" t="n">
        <x:v>0.01</x:v>
      </x:c>
      <x:c r="C59" s="28" t="n">
        <x:v>1</x:v>
      </x:c>
      <x:c r="D59" s="28"/>
      <x:c r="E59" s="30"/>
      <x:c r="F59" s="10" t="n">
        <x:v>0.720112</x:v>
      </x:c>
      <x:c r="G59" s="2" t="str">
        <x:v>Ứng viên</x:v>
      </x:c>
      <x:c r="H59" s="2" t="str">
        <x:v>Log 4</x:v>
      </x:c>
      <x:c r="I59" s="2" t="str">
        <x:v>16 tâm, 12 đầu vào</x:v>
      </x:c>
    </x:row>
    <x:row r="60" ht="24" customHeight="1">
      <x:c r="A60" s="8" t="str">
        <x:v>RBF</x:v>
      </x:c>
      <x:c r="B60" s="27" t="n">
        <x:v>0.1</x:v>
      </x:c>
      <x:c r="C60" s="27" t="n">
        <x:v>1</x:v>
      </x:c>
      <x:c r="D60" s="27"/>
      <x:c r="E60" s="29"/>
      <x:c r="F60" s="9" t="n">
        <x:v>0.7201</x:v>
      </x:c>
      <x:c r="G60" s="8" t="str">
        <x:v>Ứng viên</x:v>
      </x:c>
      <x:c r="H60" s="8" t="str">
        <x:v>Log 4</x:v>
      </x:c>
      <x:c r="I60" s="8" t="str">
        <x:v>16 tâm, 12 đầu vào</x:v>
      </x:c>
    </x:row>
    <x:row r="61" ht="24" customHeight="1">
      <x:c r="A61" s="2" t="str">
        <x:v>RBF</x:v>
      </x:c>
      <x:c r="B61" s="28" t="n">
        <x:v>1</x:v>
      </x:c>
      <x:c r="C61" s="28" t="n">
        <x:v>1</x:v>
      </x:c>
      <x:c r="D61" s="28"/>
      <x:c r="E61" s="30"/>
      <x:c r="F61" s="10" t="n">
        <x:v>0.720004</x:v>
      </x:c>
      <x:c r="G61" s="2" t="str">
        <x:v>Ứng viên</x:v>
      </x:c>
      <x:c r="H61" s="2" t="str">
        <x:v>Log 4</x:v>
      </x:c>
      <x:c r="I61" s="2" t="str">
        <x:v>16 tâm, 12 đầu vào</x:v>
      </x:c>
    </x:row>
    <x:row r="62" ht="24" customHeight="1">
      <x:c r="A62" s="8" t="str">
        <x:v>RBF</x:v>
      </x:c>
      <x:c r="B62" s="27" t="n">
        <x:v>10</x:v>
      </x:c>
      <x:c r="C62" s="27" t="n">
        <x:v>1</x:v>
      </x:c>
      <x:c r="D62" s="27"/>
      <x:c r="E62" s="29"/>
      <x:c r="F62" s="9" t="n">
        <x:v>0.71975</x:v>
      </x:c>
      <x:c r="G62" s="8" t="str">
        <x:v>Ứng viên</x:v>
      </x:c>
      <x:c r="H62" s="8" t="str">
        <x:v>Log 4</x:v>
      </x:c>
      <x:c r="I62" s="8" t="str">
        <x:v>16 tâm, 12 đầu vào</x:v>
      </x:c>
    </x:row>
    <x:row r="63" ht="24" customHeight="1">
      <x:c r="A63" s="2" t="str">
        <x:v>RBF</x:v>
      </x:c>
      <x:c r="B63" s="28" t="n">
        <x:v>100</x:v>
      </x:c>
      <x:c r="C63" s="28" t="n">
        <x:v>1</x:v>
      </x:c>
      <x:c r="D63" s="28"/>
      <x:c r="E63" s="30"/>
      <x:c r="F63" s="10" t="n">
        <x:v>0.728344</x:v>
      </x:c>
      <x:c r="G63" s="2" t="str">
        <x:v>Ứng viên</x:v>
      </x:c>
      <x:c r="H63" s="2" t="str">
        <x:v>Log 4</x:v>
      </x:c>
      <x:c r="I63" s="2" t="str">
        <x:v>16 tâm, 12 đầu vào</x:v>
      </x:c>
    </x:row>
    <x:row r="64" ht="24" customHeight="1">
      <x:c r="A64" s="8" t="str">
        <x:v>RBF</x:v>
      </x:c>
      <x:c r="B64" s="27" t="n">
        <x:v>1000</x:v>
      </x:c>
      <x:c r="C64" s="27" t="n">
        <x:v>1</x:v>
      </x:c>
      <x:c r="D64" s="27"/>
      <x:c r="E64" s="29"/>
      <x:c r="F64" s="9" t="n">
        <x:v>0.752976</x:v>
      </x:c>
      <x:c r="G64" s="8" t="str">
        <x:v>Ứng viên</x:v>
      </x:c>
      <x:c r="H64" s="8" t="str">
        <x:v>Log 4</x:v>
      </x:c>
      <x:c r="I64" s="8" t="str">
        <x:v>16 tâm, 12 đầu vào</x:v>
      </x:c>
    </x:row>
    <x:row r="65" ht="24" customHeight="1">
      <x:c r="A65" s="2" t="str">
        <x:v>Boosted Trees</x:v>
      </x:c>
      <x:c r="B65" s="28"/>
      <x:c r="C65" s="28"/>
      <x:c r="D65" s="28" t="n">
        <x:v>0.05</x:v>
      </x:c>
      <x:c r="E65" s="30"/>
      <x:c r="F65" s="10" t="n">
        <x:v>0.518393</x:v>
      </x:c>
      <x:c r="G65" s="2" t="str">
        <x:v>Ứng viên</x:v>
      </x:c>
      <x:c r="H65" s="2" t="str">
        <x:v>Log 5</x:v>
      </x:c>
      <x:c r="I65" s="2" t="str">
        <x:v>32 cây, sâu tối đa 3</x:v>
      </x:c>
    </x:row>
    <x:row r="66" ht="24" customHeight="1">
      <x:c r="A66" s="8" t="str">
        <x:v>Boosted Trees</x:v>
      </x:c>
      <x:c r="B66" s="27"/>
      <x:c r="C66" s="27"/>
      <x:c r="D66" s="27" t="n">
        <x:v>0.1</x:v>
      </x:c>
      <x:c r="E66" s="29"/>
      <x:c r="F66" s="9" t="n">
        <x:v>0.485671</x:v>
      </x:c>
      <x:c r="G66" s="8" t="str">
        <x:v>Ứng viên</x:v>
      </x:c>
      <x:c r="H66" s="8" t="str">
        <x:v>Log 5</x:v>
      </x:c>
      <x:c r="I66" s="8" t="str">
        <x:v>32 cây, sâu tối đa 3</x:v>
      </x:c>
    </x:row>
    <x:row r="67" ht="24" customHeight="1">
      <x:c r="A67" s="2" t="str">
        <x:v>Boosted Trees</x:v>
      </x:c>
      <x:c r="B67" s="28"/>
      <x:c r="C67" s="28"/>
      <x:c r="D67" s="28" t="n">
        <x:v>0.2</x:v>
      </x:c>
      <x:c r="E67" s="30"/>
      <x:c r="F67" s="10" t="n">
        <x:v>0.456261</x:v>
      </x:c>
      <x:c r="G67" s="2" t="str">
        <x:v>Được chọn</x:v>
      </x:c>
      <x:c r="H67" s="2" t="str">
        <x:v>Log 5</x:v>
      </x:c>
      <x:c r="I67" s="2" t="str">
        <x:v>32 cây, sâu tối đa 3</x:v>
      </x:c>
    </x:row>
    <x:row r="68" ht="24" customHeight="1">
      <x:c r="A68" s="2"/>
      <x:c r="B68" s="28"/>
      <x:c r="C68" s="28"/>
      <x:c r="D68" s="28"/>
      <x:c r="E68" s="30"/>
      <x:c r="F68" s="2"/>
      <x:c r="G68" s="2"/>
      <x:c r="H68" s="2"/>
      <x:c r="I68" s="2"/>
    </x:row>
    <x:row r="69" ht="24" customHeight="1">
      <x:c r="A69" s="2"/>
      <x:c r="B69" s="28"/>
      <x:c r="C69" s="28"/>
      <x:c r="D69" s="28"/>
      <x:c r="E69" s="30"/>
      <x:c r="F69" s="2"/>
      <x:c r="G69" s="2"/>
      <x:c r="H69" s="2"/>
      <x:c r="I69" s="2"/>
    </x:row>
    <x:row r="70" ht="24" customHeight="1">
      <x:c r="A70" s="2"/>
      <x:c r="B70" s="28"/>
      <x:c r="C70" s="28"/>
      <x:c r="D70" s="28"/>
      <x:c r="E70" s="30"/>
      <x:c r="F70" s="2"/>
      <x:c r="G70" s="2"/>
      <x:c r="H70" s="2"/>
      <x:c r="I70" s="2"/>
    </x:row>
    <x:row r="71" ht="24" customHeight="1">
      <x:c r="A71" s="2"/>
      <x:c r="B71" s="28"/>
      <x:c r="C71" s="28"/>
      <x:c r="D71" s="28"/>
      <x:c r="E71" s="30"/>
      <x:c r="F71" s="2"/>
      <x:c r="G71" s="2"/>
      <x:c r="H71" s="2"/>
      <x:c r="I71" s="2"/>
    </x:row>
    <x:row r="72" ht="24" customHeight="1">
      <x:c r="A72" s="2"/>
      <x:c r="B72" s="28"/>
      <x:c r="C72" s="28"/>
      <x:c r="D72" s="28"/>
      <x:c r="E72" s="30"/>
      <x:c r="F72" s="2"/>
      <x:c r="G72" s="2"/>
      <x:c r="H72" s="2"/>
      <x:c r="I72" s="2"/>
    </x:row>
  </x:sheetData>
  <x:conditionalFormatting sqref="A6:I67">
    <x:cfRule type="expression" dxfId="0" priority="1">
      <x:formula>OR($G6="Được chọn",$G6="Checkpoint chọn")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067bca16ee49eb"/>
  </x:tableParts>
</x:worksheet>
</file>